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allego_ic_ac_uk/Documents/PhD/Repositories/energy_reserve/output/"/>
    </mc:Choice>
  </mc:AlternateContent>
  <xr:revisionPtr revIDLastSave="3687" documentId="13_ncr:1_{27CD5DFD-1054-4A33-AFFE-F35EA43968A4}" xr6:coauthVersionLast="47" xr6:coauthVersionMax="47" xr10:uidLastSave="{849FC2D9-EF04-45CE-96F6-CE31022F4A2D}"/>
  <bookViews>
    <workbookView xWindow="-120" yWindow="-120" windowWidth="29040" windowHeight="15720" xr2:uid="{00000000-000D-0000-FFFF-FFFF00000000}"/>
  </bookViews>
  <sheets>
    <sheet name="changelog input" sheetId="2" r:id="rId1"/>
    <sheet name="changelog" sheetId="1" r:id="rId2"/>
    <sheet name="ESA" sheetId="6" r:id="rId3"/>
    <sheet name="Generators_data" sheetId="3" r:id="rId4"/>
    <sheet name="Storage_data" sheetId="8" r:id="rId5"/>
    <sheet name="sets" sheetId="4" r:id="rId6"/>
    <sheet name="Post processing metrics" sheetId="5" r:id="rId7"/>
    <sheet name="calculation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3" l="1"/>
  <c r="L20" i="8"/>
  <c r="K42" i="3"/>
  <c r="K41" i="3"/>
  <c r="P37" i="3"/>
  <c r="O37" i="3"/>
  <c r="N37" i="3"/>
  <c r="I37" i="3"/>
  <c r="G37" i="3"/>
  <c r="D37" i="3"/>
  <c r="P36" i="3"/>
  <c r="O36" i="3"/>
  <c r="N36" i="3"/>
  <c r="I36" i="3"/>
  <c r="G36" i="3"/>
  <c r="D36" i="3"/>
  <c r="P35" i="3"/>
  <c r="O35" i="3"/>
  <c r="N35" i="3"/>
  <c r="I35" i="3"/>
  <c r="G35" i="3"/>
  <c r="D35" i="3"/>
  <c r="P34" i="3"/>
  <c r="O34" i="3"/>
  <c r="N34" i="3"/>
  <c r="I34" i="3"/>
  <c r="G34" i="3"/>
  <c r="D34" i="3"/>
  <c r="P33" i="3"/>
  <c r="O33" i="3"/>
  <c r="N33" i="3"/>
  <c r="I33" i="3"/>
  <c r="G33" i="3"/>
  <c r="D33" i="3"/>
  <c r="P32" i="3"/>
  <c r="O32" i="3"/>
  <c r="N32" i="3"/>
  <c r="I32" i="3"/>
  <c r="G32" i="3"/>
  <c r="D32" i="3"/>
  <c r="P31" i="3"/>
  <c r="O31" i="3"/>
  <c r="N31" i="3"/>
  <c r="I31" i="3"/>
  <c r="G31" i="3"/>
  <c r="D31" i="3"/>
  <c r="P30" i="3"/>
  <c r="O30" i="3"/>
  <c r="N30" i="3"/>
  <c r="I30" i="3"/>
  <c r="G30" i="3"/>
  <c r="D30" i="3"/>
  <c r="P29" i="3"/>
  <c r="O29" i="3"/>
  <c r="N29" i="3"/>
  <c r="I29" i="3"/>
  <c r="G29" i="3"/>
  <c r="D29" i="3"/>
  <c r="P28" i="3"/>
  <c r="O28" i="3"/>
  <c r="N28" i="3"/>
  <c r="I28" i="3"/>
  <c r="G28" i="3"/>
  <c r="D28" i="3"/>
  <c r="P27" i="3"/>
  <c r="O27" i="3"/>
  <c r="N27" i="3"/>
  <c r="I27" i="3"/>
  <c r="G27" i="3"/>
  <c r="D27" i="3"/>
  <c r="P26" i="3"/>
  <c r="O26" i="3"/>
  <c r="N26" i="3"/>
  <c r="I26" i="3"/>
  <c r="G26" i="3"/>
  <c r="D26" i="3"/>
  <c r="P25" i="3"/>
  <c r="O25" i="3"/>
  <c r="N25" i="3"/>
  <c r="I25" i="3"/>
  <c r="G25" i="3"/>
  <c r="D25" i="3"/>
  <c r="P24" i="3"/>
  <c r="O24" i="3"/>
  <c r="N24" i="3"/>
  <c r="I24" i="3"/>
  <c r="G24" i="3"/>
  <c r="D24" i="3"/>
  <c r="P23" i="3"/>
  <c r="O23" i="3"/>
  <c r="N23" i="3"/>
  <c r="I23" i="3"/>
  <c r="G23" i="3"/>
  <c r="D23" i="3"/>
  <c r="P22" i="3"/>
  <c r="O22" i="3"/>
  <c r="N22" i="3"/>
  <c r="I22" i="3"/>
  <c r="G22" i="3"/>
  <c r="D22" i="3"/>
  <c r="P21" i="3"/>
  <c r="O21" i="3"/>
  <c r="N21" i="3"/>
  <c r="I21" i="3"/>
  <c r="G21" i="3"/>
  <c r="D21" i="3"/>
  <c r="P20" i="3"/>
  <c r="O20" i="3"/>
  <c r="N20" i="3"/>
  <c r="I20" i="3"/>
  <c r="G20" i="3"/>
  <c r="D20" i="3"/>
  <c r="P19" i="3"/>
  <c r="O19" i="3"/>
  <c r="N19" i="3"/>
  <c r="I19" i="3"/>
  <c r="G19" i="3"/>
  <c r="D19" i="3"/>
  <c r="P18" i="3"/>
  <c r="O18" i="3"/>
  <c r="N18" i="3"/>
  <c r="I18" i="3"/>
  <c r="G18" i="3"/>
  <c r="D18" i="3"/>
  <c r="P17" i="3"/>
  <c r="O17" i="3"/>
  <c r="N17" i="3"/>
  <c r="I17" i="3"/>
  <c r="G17" i="3"/>
  <c r="D17" i="3"/>
  <c r="P16" i="3"/>
  <c r="O16" i="3"/>
  <c r="N16" i="3"/>
  <c r="I16" i="3"/>
  <c r="G16" i="3"/>
  <c r="D16" i="3"/>
  <c r="P15" i="3"/>
  <c r="O15" i="3"/>
  <c r="N15" i="3"/>
  <c r="I15" i="3"/>
  <c r="G15" i="3"/>
  <c r="D15" i="3"/>
  <c r="P14" i="3"/>
  <c r="O14" i="3"/>
  <c r="N14" i="3"/>
  <c r="I14" i="3"/>
  <c r="G14" i="3"/>
  <c r="D14" i="3"/>
  <c r="P13" i="3"/>
  <c r="O13" i="3"/>
  <c r="N13" i="3"/>
  <c r="I13" i="3"/>
  <c r="G13" i="3"/>
  <c r="D13" i="3"/>
  <c r="P12" i="3"/>
  <c r="O12" i="3"/>
  <c r="N12" i="3"/>
  <c r="I12" i="3"/>
  <c r="G12" i="3"/>
  <c r="D12" i="3"/>
  <c r="P11" i="3"/>
  <c r="O11" i="3"/>
  <c r="N11" i="3"/>
  <c r="I11" i="3"/>
  <c r="G11" i="3"/>
  <c r="D11" i="3"/>
  <c r="P10" i="3"/>
  <c r="O10" i="3"/>
  <c r="N10" i="3"/>
  <c r="I10" i="3"/>
  <c r="G10" i="3"/>
  <c r="D10" i="3"/>
  <c r="P9" i="3"/>
  <c r="O9" i="3"/>
  <c r="N9" i="3"/>
  <c r="I9" i="3"/>
  <c r="G9" i="3"/>
  <c r="D9" i="3"/>
  <c r="P8" i="3"/>
  <c r="O8" i="3"/>
  <c r="N8" i="3"/>
  <c r="I8" i="3"/>
  <c r="G8" i="3"/>
  <c r="D8" i="3"/>
  <c r="P7" i="3"/>
  <c r="O7" i="3"/>
  <c r="N7" i="3"/>
  <c r="I7" i="3"/>
  <c r="G7" i="3"/>
  <c r="D7" i="3"/>
  <c r="P6" i="3"/>
  <c r="O6" i="3"/>
  <c r="N6" i="3"/>
  <c r="I6" i="3"/>
  <c r="G6" i="3"/>
  <c r="D6" i="3"/>
  <c r="P5" i="3"/>
  <c r="O5" i="3"/>
  <c r="N5" i="3"/>
  <c r="I5" i="3"/>
  <c r="G5" i="3"/>
  <c r="D5" i="3"/>
  <c r="P4" i="3"/>
  <c r="O4" i="3"/>
  <c r="N4" i="3"/>
  <c r="I4" i="3"/>
  <c r="G4" i="3"/>
  <c r="D4" i="3"/>
  <c r="P3" i="3"/>
  <c r="O3" i="3"/>
  <c r="N3" i="3"/>
  <c r="I3" i="3"/>
  <c r="G3" i="3"/>
  <c r="D3" i="3"/>
  <c r="P2" i="3"/>
  <c r="O2" i="3"/>
  <c r="N2" i="3"/>
  <c r="I2" i="3"/>
  <c r="G2" i="3"/>
  <c r="D2" i="3"/>
</calcChain>
</file>

<file path=xl/sharedStrings.xml><?xml version="1.0" encoding="utf-8"?>
<sst xmlns="http://schemas.openxmlformats.org/spreadsheetml/2006/main" count="2538" uniqueCount="1422">
  <si>
    <t>:base_ramp_storage_reserve
:base_ramp_storage_envelopes
:base_ramp_storage_energy_reserve_cumulated</t>
  </si>
  <si>
    <t>:base_ramp_storage_envelopes_up_0_25_dn_0_25
:base_ramp_storage_envelopes_up_0_5_dn_0_5
:base_ramp_storage_envelopes_up_0_75_dn_0_75
:base_ramp_storage_envelopes_up_1_dn_1
:base_ramp_storage_energy_reserve_cumulated</t>
  </si>
  <si>
    <t>:base_ramp_storage_envelopes_up_0_dn_0
:base_ramp_storage_envelopes_up_0_25_dn_0_25
:base_ramp_storage_envelopes_up_0_5_dn_0_5
:base_ramp_storage_envelopes_up_0_75_dn_0_75
:base_ramp_storage_envelopes_up_1_dn_1
:base_ramp_storage_energy_reserve_cumulated</t>
  </si>
  <si>
    <t>base_case</t>
  </si>
  <si>
    <t>VLOL = 10^9</t>
  </si>
  <si>
    <t>:base_ramp_storage_energy_reserve_cumulated
μs = [(0,0), (0.25,0.25), (0.5,0.5), (0.7,0.7), (0.75,0.75), (0.8, 0.8), (0.85, 0.85), (0.9, 0.9), (0.95, 0.95), (1, 1)]</t>
  </si>
  <si>
    <t>idem</t>
  </si>
  <si>
    <t>Other</t>
  </si>
  <si>
    <t>Input folder</t>
  </si>
  <si>
    <t>Configurations</t>
  </si>
  <si>
    <t>solutions_v</t>
  </si>
  <si>
    <t>1.2.2</t>
  </si>
  <si>
    <t>COMMIT extracted</t>
  </si>
  <si>
    <t>1.2.3</t>
  </si>
  <si>
    <t>1.2.4</t>
  </si>
  <si>
    <t>base_case_v1</t>
  </si>
  <si>
    <t>:base_ramp_storage_envelopes_up_0_dn_0
:base_ramp_storage_envelopes_up_0_5_dn_0_5
:base_ramp_storage_envelopes_up_0_75_dn_0_75
:base_ramp_storage_envelopes_up_0_8_dn_0_8
:base_ramp_storage_envelopes_up_0_85_dn_0_85
:base_ramp_storage_envelopes_up_0_9_dn_0_9
:base_ramp_storage_envelopes_up_0_95_dn_0_95
:base_ramp_storage_envelopes_up_1_dn_1</t>
  </si>
  <si>
    <t>1.2.5</t>
  </si>
  <si>
    <t>changed order of configuration to test if there is bug</t>
  </si>
  <si>
    <t>:base_ramp_storage_envelopes_up_1_dn_1
:base_ramp_storage_envelopes_up_0_dn_0
:base_ramp_storage_energy_reserve_cumulated</t>
  </si>
  <si>
    <t>1.2.6</t>
  </si>
  <si>
    <t>CH, DIS decision variable fixed @ ED stage</t>
  </si>
  <si>
    <t>CH, DIS decision variable fixed @ ED stage
Ramp constraints on thermal removed</t>
  </si>
  <si>
    <t>1.2.7</t>
  </si>
  <si>
    <t>GEN, CH and DIS decision variables free
ramp constraintes added back
LOL fixed to 0</t>
  </si>
  <si>
    <t>2.0</t>
  </si>
  <si>
    <t>First simulation making sense after bug correction</t>
  </si>
  <si>
    <t>2.2</t>
  </si>
  <si>
    <t>2.3</t>
  </si>
  <si>
    <t>mu = 0, 0.1, 0.2, 0.3, 0.4, 0.5, 0.6, 0.7, 0.75, 0.8, 0.85, 0.9, 0.95, 1</t>
  </si>
  <si>
    <t>2.4</t>
  </si>
  <si>
    <t>days = [1,…,365]</t>
  </si>
  <si>
    <t>2.5</t>
  </si>
  <si>
    <t>VLOL = 10^9, days = [259, 228]</t>
  </si>
  <si>
    <t>2.6</t>
  </si>
  <si>
    <t>not much of a change</t>
  </si>
  <si>
    <t>mip_gap = 0.000001</t>
  </si>
  <si>
    <t>2.7</t>
  </si>
  <si>
    <t>base_ramp_reserve</t>
  </si>
  <si>
    <t>mip_gap =  0.000001?</t>
  </si>
  <si>
    <t>mip_gap = 0.000001
copy(uc)</t>
  </si>
  <si>
    <t>2.9.1</t>
  </si>
  <si>
    <t>mip_gap = 0.0000001
copy(uc)</t>
  </si>
  <si>
    <t>2.9.2</t>
  </si>
  <si>
    <t>2.6.1</t>
  </si>
  <si>
    <t>repetition</t>
  </si>
  <si>
    <t>reproduced results of 2.6. which means that 2.6 was launched with bigger mip_gap</t>
  </si>
  <si>
    <t>re launching previous just to check</t>
  </si>
  <si>
    <t>2.9.4</t>
  </si>
  <si>
    <t>2.9.3</t>
  </si>
  <si>
    <t>mip_gap = 0.000000001</t>
  </si>
  <si>
    <t>mu = 0, 0.25,0.75,1</t>
  </si>
  <si>
    <t>Increase of mip_gap showed no changes</t>
  </si>
  <si>
    <t>3.0</t>
  </si>
  <si>
    <t>3.2</t>
  </si>
  <si>
    <t>Not that many changes --&gt; mu =0 higly unconstrained which is bad</t>
  </si>
  <si>
    <t>2.9.5</t>
  </si>
  <si>
    <t>reproducing 2.6 but on my computer</t>
  </si>
  <si>
    <t>3.3</t>
  </si>
  <si>
    <t>server</t>
  </si>
  <si>
    <t>Machine</t>
  </si>
  <si>
    <t>Comment</t>
  </si>
  <si>
    <t>Increasing mip gap allowed to correct ossilacion on the ENS = f(mu)</t>
  </si>
  <si>
    <t>3.2.1</t>
  </si>
  <si>
    <t>3.3bis</t>
  </si>
  <si>
    <t>3.3.1</t>
  </si>
  <si>
    <t xml:space="preserve">mip_gap =  0.000000001
G_CONSTRAIN_DISPATCH  = true
</t>
  </si>
  <si>
    <t>mip_gap =  0.000000001
G_CONSTRAIN_DISPATCH  = true
normalize_reserve_variables</t>
  </si>
  <si>
    <t>running</t>
  </si>
  <si>
    <t>same results as 3.2</t>
  </si>
  <si>
    <t>3.2.2</t>
  </si>
  <si>
    <t>mip_gap =  0.000000001
G_CONSTRAIN_DISPATCH  = true
normalize_reserve_variables
julia update 10.2.1</t>
  </si>
  <si>
    <t>4.0</t>
  </si>
  <si>
    <t>4.1</t>
  </si>
  <si>
    <t>added LRES
trying to reproduce 3.2</t>
  </si>
  <si>
    <t>First run sucessful.
Probably there is a bug on simulaionts 228, 259 and 289</t>
  </si>
  <si>
    <t>4.2</t>
  </si>
  <si>
    <t>4.3</t>
  </si>
  <si>
    <t>re running @ubuntu</t>
  </si>
  <si>
    <t>4.4</t>
  </si>
  <si>
    <t>4.5</t>
  </si>
  <si>
    <t>mip_gap = 10^(-8)</t>
  </si>
  <si>
    <t>mip_gap = 10^(-8)
G_CONSTRAIN_DISPATCH  = false</t>
  </si>
  <si>
    <t>mip_gap =  10^(-8)
G_CONSTRAIN_DISPATCH  = true</t>
  </si>
  <si>
    <t>mip_gap =  10^(-8)
G_CONSTRAIN_DISPATCH  = true
normalize_reserve_variables</t>
  </si>
  <si>
    <t xml:space="preserve">mip_gap =  10^(-8)
G_CONSTRAIN_DISPATCH  = true
</t>
  </si>
  <si>
    <t xml:space="preserve">mip_gap =  10^(-8)
G_CONSTRAIN_DISPATCH  = true
normalize_reserve_variables = [GEN, DIS, CH]
</t>
  </si>
  <si>
    <t>mip_gap =  10^(-8)
G_CONSTRAIN_DISPATCH  = true
normalize_reserve_variables = [GEN, DIS, CH]
remove_variable_constraint(ed, :SOEFinal)</t>
  </si>
  <si>
    <t>mip_gap =  10^(-8)
G_CONSTRAIN_DISPATCH  = true
normalize_reserve_variables = [GEN, DIS, CH]
SOEFinal constrained removed from both UC and ED</t>
  </si>
  <si>
    <t>4.6</t>
  </si>
  <si>
    <t>mip_gap =  10^(-8)
G_CONSTRAIN_DISPATCH  = true
normalize_reserve_variables = [GEN, DIS, CH]
remove_variable_constraint(ed, :SOEFinal)
VRESESERVE = 10^(-8)
normalize_reserve_variables removed</t>
  </si>
  <si>
    <t>4.6.1</t>
  </si>
  <si>
    <t>4.6.2</t>
  </si>
  <si>
    <t>ubuntu</t>
  </si>
  <si>
    <t>mip_gap =  10^(-8)
G_CONSTRAIN_DISPATCH  = true
normalize_reserve_variables = [GEN, DIS, CH]
remove_variable_constraint(ed, :SOEFinal)
VRESESERVE = 10^(-6)
normalize_reserve_variables removed</t>
  </si>
  <si>
    <t>server
reduction of VRESERVE allowed to constrain more reserve offered</t>
  </si>
  <si>
    <t>4.8</t>
  </si>
  <si>
    <t>mip_gap =  10^(-10)
G_CONSTRAIN_DISPATCH  = true
normalize_reserve_variables = [GEN, DIS, CH]
remove_variable_constraint(ed, :SOEFinal)
VRESESERVE = 10^(-6)
normalize_reserve_variables removed</t>
  </si>
  <si>
    <t>Increased gap did not change output</t>
  </si>
  <si>
    <t>5.0</t>
  </si>
  <si>
    <t>6.0s</t>
  </si>
  <si>
    <t>7.1</t>
  </si>
  <si>
    <t>base_case_v2</t>
  </si>
  <si>
    <t>7.0</t>
  </si>
  <si>
    <t>8</t>
  </si>
  <si>
    <t>G_CONSTRAIN_DISPATCH  = true
normalize_reserve_variables = [GEN, DIS, CH]
remove_variable_constraint(ed, :SOEFinal)
objective funtion = VLOL*sum(LOL[t] for t in T) + VLGEN*sum(LGEN[t] for t in T)</t>
  </si>
  <si>
    <t>4.7.1s</t>
  </si>
  <si>
    <t>4.7s</t>
  </si>
  <si>
    <t>No changes with respect to previous one</t>
  </si>
  <si>
    <t>5.1</t>
  </si>
  <si>
    <t>mip_gap =  1e-8
G_CONSTRAIN_DISPATCH  = true
normalize_reserve_variables = [GEN, DIS, CH]
remove_variable_constraint(ed, :SOEFinal)
VRESESERVE = 1e-6
START cost = 0</t>
  </si>
  <si>
    <t>5.2</t>
  </si>
  <si>
    <t>5.3</t>
  </si>
  <si>
    <t>mip_gap =  1e-8
G_CONSTRAIN_DISPATCH  = true
normalize_reserve_variables = [GEN, DIS, CH]
remove_variable_constraint(ed, :SOEFinal)
VRESESERVE = 1e-8 for thermal
VRESESERVE = 1e-7 for storage
START cost = 0</t>
  </si>
  <si>
    <t>mip_gap =  1e-8
G_CONSTRAIN_DISPATCH  = true
normalize_reserve_variables = [GEN, DIS, CH]
remove_variable_constraint(ed, :SOEFinal)
VRESESERVE = 1e-7 for thermal
VRESESERVE = 1e-8 for storage
START cost = 0</t>
  </si>
  <si>
    <t>5.4</t>
  </si>
  <si>
    <t>mip_gap =  1e-8
G_CONSTRAIN_DISPATCH  = true
normalize_reserve_variables = [GEN, DIS, CH]
remove_variable_constraint(ed, :SOEFinal)
VRESESERVE = 1e-6
objective funtion = VLOL*sum(LOL[t] for t in T) + VLGEN*sum(LGEN[t] for t in T)</t>
  </si>
  <si>
    <t>5.5</t>
  </si>
  <si>
    <t>5.6</t>
  </si>
  <si>
    <t>Pending!</t>
  </si>
  <si>
    <t>5.7</t>
  </si>
  <si>
    <t>mip_gap =  1e-8
G_CONSTRAIN_DISPATCH  = true
normalize_reserve_variables = [GEN, DIS, CH]
remove_variable_constraint(ed, :SOEFinal)
VRESESERVE = VRESESERVE = 1e-5
SOE_0 &lt; SOE_F
solving UC before each ED</t>
  </si>
  <si>
    <t>confirmed</t>
  </si>
  <si>
    <t>Dispatch changed, but not correccted tendency.
Is it correct to compare simulations in terms of EOV if the associated startup costs are not neglected from the objective function?
Confirmed</t>
  </si>
  <si>
    <t>Can't reproduce this one</t>
  </si>
  <si>
    <t>9.0</t>
  </si>
  <si>
    <t>Same dispatch as 5.4 but different cost function. Good</t>
  </si>
  <si>
    <t>10.0</t>
  </si>
  <si>
    <t>10.1</t>
  </si>
  <si>
    <t>10.2</t>
  </si>
  <si>
    <t>reserve = 0.116 --&gt; 99% percentile</t>
  </si>
  <si>
    <t>Better decreasing tendency is observed. 
Problem for day 7 still observed though</t>
  </si>
  <si>
    <t>One month</t>
  </si>
  <si>
    <t>10.3s</t>
  </si>
  <si>
    <t>10.1.1</t>
  </si>
  <si>
    <t>same</t>
  </si>
  <si>
    <t>testing after modifications for commit 1558</t>
  </si>
  <si>
    <t>10.4s</t>
  </si>
  <si>
    <t>day 7 shows ligthly higher cost values, but good!</t>
  </si>
  <si>
    <t>10.5u</t>
  </si>
  <si>
    <t>10.4u</t>
  </si>
  <si>
    <t>Better distribution of reserve down requiring redispatch</t>
  </si>
  <si>
    <t>mip_gap =  1e-8
G_CONSTRAIN_DISPATCH  = true
normalize_reserve_variables = [GEN, DIS, CH]
remove_variable_constraint(ed, :SOEFinal)
VRESESERVE = 1e-6
Dispatch of generation units not offering reserve</t>
  </si>
  <si>
    <t>10.6</t>
  </si>
  <si>
    <t>10.7</t>
  </si>
  <si>
    <t>VLOL = 1e4
VGEN = 0</t>
  </si>
  <si>
    <t>VLOL = 1e3
VGEN = 0</t>
  </si>
  <si>
    <t>VLOL = 1e2
VGEN = 0</t>
  </si>
  <si>
    <t>10.8</t>
  </si>
  <si>
    <t>VLOL = 50
VGEN = 0</t>
  </si>
  <si>
    <t>10.9</t>
  </si>
  <si>
    <t>10.5.1u</t>
  </si>
  <si>
    <t>OPEX included</t>
  </si>
  <si>
    <t>10.6.1</t>
  </si>
  <si>
    <t>mip_gap =  1e-8
G_CONSTRAIN_DISPATCH  = true
normalize_reserve_variables = [GEN, DIS, CH]
remove_variable_constraint(ed, :SOEFinal)
VRESESERVE = 1e-6
Dispatch of generation units not offering reserve
OPEX calculation included</t>
  </si>
  <si>
    <t>VLOL = 1e4
VGEN = 0
OPEX calculation included</t>
  </si>
  <si>
    <t>10.6.2</t>
  </si>
  <si>
    <t>VLOL = 1e4
VGEN = 0
OPEX calculation included: included startup cost</t>
  </si>
  <si>
    <t>VLOL = 1e4
VGEN = 0
OPEX calculation included: included startup cost
Robust ramp constraint</t>
  </si>
  <si>
    <t>11.1</t>
  </si>
  <si>
    <t>11.0</t>
  </si>
  <si>
    <t>VLOL = 1e4
VGEN = 1e4
OPEX calculation included: included startup cost
Robust ramp constraint</t>
  </si>
  <si>
    <t>11.2</t>
  </si>
  <si>
    <t>VLOL = 1e4
VGEN = 0
OPEX calculation included: included startup cost
Robust ramp constraint
VRES = 1e-6 thermal, 1e-7 storage</t>
  </si>
  <si>
    <t>11.3</t>
  </si>
  <si>
    <t>11.4</t>
  </si>
  <si>
    <t>VLOL = 1e4
VGEN = 0
OPEX calculation included: included startup cost
Robust ramp constraint
VRESERVE = 1e-6 thermal
VRESERVE = 1e-8 storage</t>
  </si>
  <si>
    <t>VLOL = 1e4
VGEN = 0
OPEX calculation included: included startup cost
Robust ramp constraint
VRESERVE = 1e-5 thermal
VRESERVE = 1e-8 storage</t>
  </si>
  <si>
    <t>11.5</t>
  </si>
  <si>
    <t>VLOL = 1e4
VGEN = 0
OPEX calculation included: included startup cost
Robust ramp constraint
VRESERVE UP  = 1e-5
VRESERVE DOWN = 1e-6</t>
  </si>
  <si>
    <t>11.6</t>
  </si>
  <si>
    <t>VLOL = 1e4
VGEN = 0
OPEX calculation included: included startup cost
Robust ramp constraint
VRESERVE UP  = 1e-3
VRESERVE DOWN = 1e-6</t>
  </si>
  <si>
    <t>11.7</t>
  </si>
  <si>
    <t>VLOL = 1e4
VGEN = 0
OPEX calculation included: included startup cost
Robust ramp constraint
VRESERVE UP  = 1e-6
VRESERVE DOWN = 1e-5</t>
  </si>
  <si>
    <t>11.8</t>
  </si>
  <si>
    <t>VLOL = 1e4
VGEN = 0
OPEX calculation included: included startup cost
Robust ramp constraint
VRESERVE UP  = 1e-7
VRESERVE DOWN = 1e-5</t>
  </si>
  <si>
    <t>0.01,0.05,0.1</t>
  </si>
  <si>
    <t>12.0</t>
  </si>
  <si>
    <t>11.6.1</t>
  </si>
  <si>
    <t>base_case_increased_storage_energy</t>
  </si>
  <si>
    <t>VLOL = 1e4
VGEN = 0
OPEX calculation included: included startup cost
Robust ramp constraint
Only storage reserve procurement</t>
  </si>
  <si>
    <t>11.0.1</t>
  </si>
  <si>
    <t>VLOL = 1e4
VGEN = 1-6
OPEX calculation included: included startup cost
Robust ramp constraint</t>
  </si>
  <si>
    <t>12.1</t>
  </si>
  <si>
    <t>VLOL = 1e4
VGEN = 0
OPEX calculation included: included startup cost
Robust ramp constraint
Only storage reserve procurement
charging efficiency = 1</t>
  </si>
  <si>
    <t>Poster presentation</t>
  </si>
  <si>
    <t>13.0</t>
  </si>
  <si>
    <t>VLOL = 1e4
VGEN = 1e4
Fixed cost per MW added to OPEX</t>
  </si>
  <si>
    <t>13.1</t>
  </si>
  <si>
    <t>VLOL = 1e4
VGEN = 0
Fixed cost per MW added to OPEX</t>
  </si>
  <si>
    <t>14.1</t>
  </si>
  <si>
    <t>base_case_cost_manipulation</t>
  </si>
  <si>
    <t>14.2</t>
  </si>
  <si>
    <t>VLOL = 1e4
VGEN = 0
Fixed cost per MW added to OPEX
VRESERVE UP  = 1e-6
VRESERVE DOWN = 1e-4</t>
  </si>
  <si>
    <t>14.3</t>
  </si>
  <si>
    <t>11.1.1</t>
  </si>
  <si>
    <t>bis</t>
  </si>
  <si>
    <t>15.0</t>
  </si>
  <si>
    <t>Only storage reserve procurement
RESUP[s,t] &lt;= storage[storage.r_id .== s,:existing_cap_mw][1] - DIS[s,t] + CH[s,t]
ESDN[s,t] &lt;= storage[storage.r_id .== s,:existing_cap_mw][1] - CH[s,t] + DIS[s,t]</t>
  </si>
  <si>
    <t xml:space="preserve">Only storage reserve procurement
RESUP[s,t] &lt;= storage[storage.r_id .== s,:existing_cap_mw][1] - DIS[s,t]
ESDN[s,t] &lt;= storage[storage.r_id .== s,:existing_cap_mw][1] - CH[s,t] </t>
  </si>
  <si>
    <t>basecase</t>
  </si>
  <si>
    <t>Storage reserve logic CH and DIS implemented</t>
  </si>
  <si>
    <t>capping demand perturbation to reserves up and down</t>
  </si>
  <si>
    <t>17.0.1</t>
  </si>
  <si>
    <t>capping demand perturbation to reserves up and down
MGA</t>
  </si>
  <si>
    <t>Storage reserve logic CH and DIS implemented
capping demand perturbation to reserves up and down</t>
  </si>
  <si>
    <t>17.1bis</t>
  </si>
  <si>
    <t>Study of 0.4 case</t>
  </si>
  <si>
    <t>1,0.8,0.6,0.4,0.2,0</t>
  </si>
  <si>
    <t>0,0.2,0.4,0.6,0.8,1</t>
  </si>
  <si>
    <t>No MGA</t>
  </si>
  <si>
    <t>18.1bis</t>
  </si>
  <si>
    <t>repeating 17.1bis</t>
  </si>
  <si>
    <t xml:space="preserve"> added fixed OPEX; diversified Start_cost_per_MW, Existing_Cap_MW, Var_OM_cost_per_MWh, Ramp_Up_percentage, Ramp_Dn_percentage</t>
  </si>
  <si>
    <t>MGA:  RESUP[s,t] &lt;=  (filter([:r_id, :hour] =&gt; ((x,y) -&gt; (x == s)*(y==t)), reference_solution.reserve).reserve_up_MW)[1] &amp; cost with mipgap</t>
  </si>
  <si>
    <t>Different outcome</t>
  </si>
  <si>
    <t>Ramp_Up_percentage, Ramp_Dn_percentage</t>
  </si>
  <si>
    <t>MGA:   @constraint(model, ResUpStorageMa[t in T_], RESUP[101,t] &lt;=  0), T_ = 1:176 &amp; cost within mip_gap</t>
  </si>
  <si>
    <t>base_case_increased_storage_energy_data_diversification</t>
  </si>
  <si>
    <t>no MGA. Constraints removing checked</t>
  </si>
  <si>
    <t>no MGA
RESDNDIS[s,t] ==0
RESUPCH[s,t] == 0</t>
  </si>
  <si>
    <t>v18.5.1</t>
  </si>
  <si>
    <t>Removed:
RESUPDIS[s,t] &lt;= storage[storage.r_id .== s,:existing_cap_mw][1]*U[s,t]
CH[s,t] - RESUPCH[s,t] &lt;= storage[storage.r_id .== s,:existing_cap_mw][1]*(1-U[s,t])
RESDNCH[s,t] &lt;= storage[storage.r_id .== s,:existing_cap_mw][1]*D[s,t]
DIS[s,t] - RESDNDIS[s,t] &lt;= storage[storage.r_id .== s,:existing_cap_mw][1]*(1-D[s,t])
Modified:
RESUPDIS[s,t] &lt;= storage[storage.r_id .== s,:existing_cap_mw][1] - DIS[s,t] + CH[s,t]
RESUPCH[s,t] &lt;= + CH[s,t]*0
RESDNDIS[s,t] &lt;= + DIS[s,t]*0
if get_variable_base_name(var) in [GEN, DIS]
            constraint_production_variables(var, var_value, kwargs[:res_up_var], kwargs[:res_up_var_value], kwargs[:res_dn_var], kwargs[:res_dn_var_value])
        elseif get_variable_base_name(var) in [CH]
            # Inversing arugement allows to constraint consumption variables
            constraint_production_variables(var, var_value, kwargs[:res_dn_var], kwargs[:res_dn_var_value], kwargs[:res_up_var], kwargs[:res_up_var_value])
        end
RESDNCH[s,t] &lt;= storage[storage.r_id .== s,:existing_cap_mw][1] - CH[s,t] + DIS[s,t]</t>
  </si>
  <si>
    <t xml:space="preserve">No MGA. Reproducing constraints of v15.0u --&gt; same results for UC
</t>
  </si>
  <si>
    <t>18.5bis</t>
  </si>
  <si>
    <t>15.0bis</t>
  </si>
  <si>
    <t>Commit MGA 8c2c78c03f0098c859c01b5e97167bc64be4d111</t>
  </si>
  <si>
    <t>Commit Main 62c9609775f4315ea224cc64f0201eaeea2fd414
Only reserve procurement</t>
  </si>
  <si>
    <t>v19.0u</t>
  </si>
  <si>
    <t xml:space="preserve">No MGA no load filtering. Reproducing constraints of v15.0bis --&gt; same results for UC
</t>
  </si>
  <si>
    <t>no MGA</t>
  </si>
  <si>
    <t>20.0u</t>
  </si>
  <si>
    <t>20.1u</t>
  </si>
  <si>
    <t>20.2u</t>
  </si>
  <si>
    <t>20.3u</t>
  </si>
  <si>
    <t>20.4u</t>
  </si>
  <si>
    <t>20.4.1u</t>
  </si>
  <si>
    <t>20.3.1</t>
  </si>
  <si>
    <t>thermal units providing reserves!
size of storage reduced to 1.5</t>
  </si>
  <si>
    <t>no LOL</t>
  </si>
  <si>
    <t>base_case_single_storage</t>
  </si>
  <si>
    <t>no MGA
big_M constraint replaced by max power
size of storage reduced to 1.8</t>
  </si>
  <si>
    <t>no MGA
big_M constraint replaced by max power
storage factor 2</t>
  </si>
  <si>
    <t>no MGA
big_M constraint replaced by max power
lol = 0 imposed</t>
  </si>
  <si>
    <t>With respect to 18.5bis, dispatch changed in ED but UC values are the same.</t>
  </si>
  <si>
    <t>21.0u</t>
  </si>
  <si>
    <t>21.1u</t>
  </si>
  <si>
    <t>big_M constraint replaced by max power
@constraint(model, ResUpRampZero[i in G_thermal, t in T],
     RESUP[i,t] &lt;= 0)
 @constraint(model, ResDnRampZero[i in G_thermal, t in T],
     RESDN[i,t] &lt;= 0)</t>
  </si>
  <si>
    <t>21.0.1u</t>
  </si>
  <si>
    <t>big_M constraint replaced by max power
thermal_reserve = false
for i in G_thermal, t in T
    fix(RESUP[i,t], 0, force = true)
    fix(RESDN[i,t], 0, force = true)
end</t>
  </si>
  <si>
    <t>big_M constraint replaced by max power
thermal_reserve = true</t>
  </si>
  <si>
    <t>21.0.2u</t>
  </si>
  <si>
    <t>UC less expensive!</t>
  </si>
  <si>
    <t>With respect to 21.1:
ED less LOL (0.4 LOL at mu = 0) for ED
UC OV same</t>
  </si>
  <si>
    <t>With respect to 21.1:
ED more LOL (0.4 LOL at mu = 0) for ED
UC OV lower</t>
  </si>
  <si>
    <t>22.0u</t>
  </si>
  <si>
    <t>thermal_reserve = false
bidirecional_storage_reserve = false
Reproducing UC OV for v18.5.1</t>
  </si>
  <si>
    <t>22.1u</t>
  </si>
  <si>
    <t xml:space="preserve">thermal_reserve = false
bidirecional_storage_reserve = false
</t>
  </si>
  <si>
    <t>Constraints
@constraint(model, ResUpStorageDisCapacityMax[s in S, t in T],
  RESUPDIS[s,t] &lt;= storage[storage.r_id .== s,:existing_cap_mw][1] - DIS[s,t] + CH[s,t])
@constraint(model, ResDownStorageChCapacityMax[s in S, t in T],
  RESDNCH[s,t] &lt;= storage[storage.r_id .== s,:existing_cap_mw][1] - CH[s,t] + DIS[s,t])</t>
  </si>
  <si>
    <t xml:space="preserve">thermal_reserve = false
bidirecional_storage_reserve = true
</t>
  </si>
  <si>
    <t>22.2u</t>
  </si>
  <si>
    <t>constraints:
 @constraint(model, ResUpStorageDisCapacityMax[s in S, t in T],
            RESUPDIS[s,t] &lt;= storage[storage.r_id .== s,:existing_cap_mw][1] - DIS[s,t]
        )
@constraint(model, ResDownStorageChCapacityMax[s in S, t in T],
            RESDNCH[s,t] &lt;= storage[storage.r_id .== s,:existing_cap_mw][1] - CH[s,t]
        )
Problem of UC converging</t>
  </si>
  <si>
    <t>22.1.1u</t>
  </si>
  <si>
    <t>thermal_reserve = false
bidirecional_storage_reserve = false
exploring Q constraint</t>
  </si>
  <si>
    <t>base_case_increased_storage_energy_v2</t>
  </si>
  <si>
    <t>thermal_reserve = false
bidirecional_storage_reserve = false
back to commit 3c42978ca8bfed41ec862ea885bfbd0392ed8983</t>
  </si>
  <si>
    <t>22.1.1.1u</t>
  </si>
  <si>
    <t>with respct to 22.11
UC: same OV
ED: different LOL</t>
  </si>
  <si>
    <t>Not clear differences in  ´terms of LOL with respect to 22.1u</t>
  </si>
  <si>
    <t>22.1.2u</t>
  </si>
  <si>
    <t>ch_logic_group = [CH]
ch_logic_group_2 = []</t>
  </si>
  <si>
    <t>23.0u</t>
  </si>
  <si>
    <t>base_case_single_storage_v3</t>
  </si>
  <si>
    <t>23.1u</t>
  </si>
  <si>
    <t>thermal_reserve = false
bidirecional_storage_reserve = true</t>
  </si>
  <si>
    <t>thermal_reserve = false
bidirecional_storage_reserve = false</t>
  </si>
  <si>
    <t>23.2u</t>
  </si>
  <si>
    <t>gen_logic_group = [GEN]
dis_logic_group = [DIS]
ch_logic_group = [CH]
ch_logic_group_2 = []</t>
  </si>
  <si>
    <t>24.0u</t>
  </si>
  <si>
    <t>24.1u</t>
  </si>
  <si>
    <t>base_case_increased_storage_energy_v2.1</t>
  </si>
  <si>
    <t>revisited_envelope</t>
  </si>
  <si>
    <t>classic_envelope</t>
  </si>
  <si>
    <t>base_case_increased_storage_energy_v2.1
Updates on:
Existing_Cap_MW, Var_OM_cost_per_MWh, Fixed_OM_cost_per_MW_per_hour, Min_power, Ramp_Up_percentage, Ramp_Dn_percentage, Charge_efficiency, Discharge_efficiency</t>
  </si>
  <si>
    <t>24.2u</t>
  </si>
  <si>
    <t>24.3u</t>
  </si>
  <si>
    <t>thermal_reserve = false
bidirecional_storage_reserve = true
constrain_by_energy = true</t>
  </si>
  <si>
    <t>24.3.1u</t>
  </si>
  <si>
    <t>base_case_increased</t>
  </si>
  <si>
    <t>No LOL</t>
  </si>
  <si>
    <t>infeasibility</t>
  </si>
  <si>
    <t>24.4u</t>
  </si>
  <si>
    <t>thermal_reserve = false
bidirecional_storage_reserve = true
Removed ResUpStorageDisLogic, ResUpStorageChLogic, ResDownStorageChLogic and ResDownStorageDisLogic constraints to reproduce Bruninx constraints</t>
  </si>
  <si>
    <t>25.0u</t>
  </si>
  <si>
    <t xml:space="preserve">bidirecional_storage_reserve = true
</t>
  </si>
  <si>
    <t>base_case_increased_storage_energy_v2.2: correlated demand</t>
  </si>
  <si>
    <t>thermal_reserve = false
bidirecional_storage_reserve = true
constrain_dispatch_by_SOE = true</t>
  </si>
  <si>
    <t>constrain_dispatch_by_SOE = true</t>
  </si>
  <si>
    <t>26.2u</t>
  </si>
  <si>
    <t>26.0u</t>
  </si>
  <si>
    <t xml:space="preserve">corrected mipgap bug when initializing ED
bidirecional_storage_reserve = true
</t>
  </si>
  <si>
    <t>v26.0.1u</t>
  </si>
  <si>
    <t>bidirecional_storage_reserve = true
Brunninx formulation</t>
  </si>
  <si>
    <t>constrain_dispatch_by_SOE = true
VLOL = [10024,10023,…10001]</t>
  </si>
  <si>
    <t>26.2.1u</t>
  </si>
  <si>
    <t>27.0u</t>
  </si>
  <si>
    <t>27.0.1u</t>
  </si>
  <si>
    <t>version</t>
  </si>
  <si>
    <t>shifted time of demand.csv and generation_availability.csv</t>
  </si>
  <si>
    <t>base_case_increased_storage_energy_v3.1</t>
  </si>
  <si>
    <t>base_case_increased_storage_energy_v3.2</t>
  </si>
  <si>
    <t>28.0u</t>
  </si>
  <si>
    <t>same values as 26.2.1u</t>
  </si>
  <si>
    <t>28.1u</t>
  </si>
  <si>
    <t>28.2u</t>
  </si>
  <si>
    <t>28.3u</t>
  </si>
  <si>
    <t>28.4u</t>
  </si>
  <si>
    <t>28.3u
VLOL = 10000</t>
  </si>
  <si>
    <t>constrain_SOE_by_envelopes = true
VLOL = [10024,10023,…10001]
28.1u without multipliers
SOEPUP_value = (Array(value.(RESDNCH)).*η_ch + Array(value.(RESDNDIS)).*inv_η_dis 
SOEPDN_value = -(Array(value.(RESUPCH)).*η_ch + Array(value.(RESUPDIS)).*inv_η_dis )</t>
  </si>
  <si>
    <t>constrain_SOE_by_envelopes = true
VLOL = [10024,10023,…10001]
Envelop approach 2
 SOEPUP_value = [value(SOE[s,T_incr[1]]) for s in S, t in T_incr] + cumsum(SOEPUP_value; dims = 2)
SOEPDN_value = [value(SOE[s,T_incr[1]]) for s in S, t in T_incr]  + cumsum(SOEPDN_value; dims = 2)</t>
  </si>
  <si>
    <t>constrain_SOE_by_envelopes = true
VLOL = [10024,10023,…10001]
envelope approach 3
 SOEPUP_value = +Array(value.(CH)).*η_ch + (Array(value.(RESDNCH)).*η_ch + Array(value.(RESDNDIS)).*inv_η_dis).* μ_dn'
SOEPUP_value = (Array(value.(RESDNCH)).*η_ch + Array(value.(RESDNDIS)).*inv_η_dis
SOEPDN_value = -Array(value.(DIS)).*inv_η_dis -(Array(value.(RESUPCH)).*η_ch + Array(value.(RESUPDIS)).*inv_η_dis).* μ_up'
SOEPDN_value = -(Array(value.(RESUPCH)).*η_ch + Array(value.(RESUPDIS)).*inv_η_dis )</t>
  </si>
  <si>
    <t>constrain_SOE_by_envelopes = true
VLOL = [10024,10023,…10001]
envelope approach 1</t>
  </si>
  <si>
    <t>29.0u</t>
  </si>
  <si>
    <t>constrain_SOE_by_envelopes = true
VLOL = [10024,10023,…10001]
envelope approach 1 + constrained envelope according to storage max and min</t>
  </si>
  <si>
    <t>29.1u</t>
  </si>
  <si>
    <t>constrain_SOE_by_envelopes = true
VLOL = [10024,10023,…10001]
envelope approach 2 + constrained envelope according to storage max and min</t>
  </si>
  <si>
    <t>constrain_SOE_by_envelopes = true
VLOL = [10024,10023,…10001]
envelope approach 3 + constrained envelope according to storage max and min</t>
  </si>
  <si>
    <t>29.2u</t>
  </si>
  <si>
    <t>29.0.1u</t>
  </si>
  <si>
    <t>constrain_SOE_by_envelopes = true
envelope approach 1 + constrained envelope according to storage max and min</t>
  </si>
  <si>
    <t>29.2.1u</t>
  </si>
  <si>
    <t>constrain_SOE_by_envelopes = true
envelope approach 3 + constrained envelope according to storage max and min</t>
  </si>
  <si>
    <t>30.0u</t>
  </si>
  <si>
    <t>29.2.3u</t>
  </si>
  <si>
    <t>constrain_SOE_by_envelopes = true
envelope approach 1 w/o mus</t>
  </si>
  <si>
    <t>30.1u</t>
  </si>
  <si>
    <t>constrain_SOE_by_envelopes = false</t>
  </si>
  <si>
    <t>constrain_SOE_by_envelopes = false
constraint_SOE_final_to_envelopes</t>
  </si>
  <si>
    <t>30.1.1u</t>
  </si>
  <si>
    <t>constrain_SOE_by_envelopes = false
constraint_SOE_final_to_envelopes
constrain dispatch by multipliers = true</t>
  </si>
  <si>
    <t>31.0u</t>
  </si>
  <si>
    <t>31.1u</t>
  </si>
  <si>
    <t>generous envelope &lt;=&gt; 29.0.1</t>
  </si>
  <si>
    <t>strict envelope &lt;=&gt; 30.1</t>
  </si>
  <si>
    <t>generous envelope with mu=1</t>
  </si>
  <si>
    <t>31.1.1u</t>
  </si>
  <si>
    <t>32.1u</t>
  </si>
  <si>
    <t>not simulated yet</t>
  </si>
  <si>
    <t>32.0s, 32.0u</t>
  </si>
  <si>
    <t>32.2u</t>
  </si>
  <si>
    <t>32.0.1u</t>
  </si>
  <si>
    <t>strict envelope and E_final = E_initial
pointwise envelope</t>
  </si>
  <si>
    <t>32.1.1.1u</t>
  </si>
  <si>
    <t>strict envelope
E_final = E_initial</t>
  </si>
  <si>
    <t>generous envelope with mu=1
VLOL = [10024,10023,…10001]</t>
  </si>
  <si>
    <t>32.1.1s. 32.1.1u</t>
  </si>
  <si>
    <t>E_final = E_initial</t>
  </si>
  <si>
    <t>strict envelope
E_final = E_initial
VLOL = [10024,10023,…10001]</t>
  </si>
  <si>
    <t>base_case_increased_storage_energy_v3.1.1</t>
  </si>
  <si>
    <t>32.0.1.1u</t>
  </si>
  <si>
    <t xml:space="preserve">Storage MWh reduced to test energy trapped behind power constraints according to </t>
  </si>
  <si>
    <t>shifted time of demand.csv and generation_availability.csv
added expected final energy proportion for storage</t>
  </si>
  <si>
    <t>33.0z</t>
  </si>
  <si>
    <t>base_case_increased_storage_energy_v4.1</t>
  </si>
  <si>
    <t>from 4.1 --&gt; generated demand scenarios with standard deviation more accurate</t>
  </si>
  <si>
    <t>34.0z</t>
  </si>
  <si>
    <t>no re-dispatch constrainst on storage (variables_to_constrain = [GEN]
E_final = E_initial</t>
  </si>
  <si>
    <t>generous envelope with mu=1 &lt;-&gt; constrain_SOE_by_envelopes = true</t>
  </si>
  <si>
    <t>strict envelope &lt;-&gt; variables_to_constrain = [:GEN, :CH, :DIS]
E_final = E_initial</t>
  </si>
  <si>
    <t>no re-dispatch constrainst on storage (variables_to_constrain = [GEN]</t>
  </si>
  <si>
    <t>34.1s</t>
  </si>
  <si>
    <t>energy reserve &amp; envelope</t>
  </si>
  <si>
    <t>35.0u</t>
  </si>
  <si>
    <t>storage opex = 10^-7</t>
  </si>
  <si>
    <t>storage opex = 0</t>
  </si>
  <si>
    <t>no re-dispatch constrainst on storage (variables_to_constrain = [GEN]
removed energy-type constraints on storage energy reserves</t>
  </si>
  <si>
    <t>35.1u</t>
  </si>
  <si>
    <t>no re-dispatch constrainst on storage (variables_to_constrain = [GEN]
removed energy-type constraints on storage energy reserves
energy_reserve = true</t>
  </si>
  <si>
    <t>35.0.1z</t>
  </si>
  <si>
    <t>base_case_increased_storage_energy_v4.2</t>
  </si>
  <si>
    <t>same config as 35.0u</t>
  </si>
  <si>
    <t>35.0.2z</t>
  </si>
  <si>
    <t>base_case_increased_storage_energy_v4.3</t>
  </si>
  <si>
    <t>35.1.1z</t>
  </si>
  <si>
    <t>same config as 35.1u</t>
  </si>
  <si>
    <t>base_case_increased_storage_energy_v5.2</t>
  </si>
  <si>
    <t>from 4.2 replaced random_demand with scenarios_demand from uc/scenarios</t>
  </si>
  <si>
    <t>energy_reserve = true</t>
  </si>
  <si>
    <t>energy_reserve = false</t>
  </si>
  <si>
    <t>base_case_increased_storage_energy_v6.0</t>
  </si>
  <si>
    <t>Reserve reference with exact coefficient for random demand</t>
  </si>
  <si>
    <t>E-reserve reference with exact coefficient for random demand</t>
  </si>
  <si>
    <t>Aucorroleated errors reserve
day = day_old+1</t>
  </si>
  <si>
    <t>Aucorroleated errors e-reserve
day = day_old+1</t>
  </si>
  <si>
    <t>base_case_increased_storage_energy_v6.1</t>
  </si>
  <si>
    <t>38.0u</t>
  </si>
  <si>
    <t>38.1u</t>
  </si>
  <si>
    <t>base_case_increased_storage_energy_v6.2</t>
  </si>
  <si>
    <t>RES installed capacities to zero</t>
  </si>
  <si>
    <t>39.0z</t>
  </si>
  <si>
    <t>39.0.1z</t>
  </si>
  <si>
    <t>base_case_increased_storage_energy_v6.3</t>
  </si>
  <si>
    <t>reserve margings increasy by 10%</t>
  </si>
  <si>
    <t>37.0.1z</t>
  </si>
  <si>
    <t>base_case_increased_storage_energy_v6.0.1</t>
  </si>
  <si>
    <t>Reserve.csv generated from simulated errors</t>
  </si>
  <si>
    <t>R_ID</t>
  </si>
  <si>
    <t>Resource</t>
  </si>
  <si>
    <t>region</t>
  </si>
  <si>
    <t>Existing_Cap_MW</t>
  </si>
  <si>
    <t>num_units</t>
  </si>
  <si>
    <t>Cap_size</t>
  </si>
  <si>
    <t>Var_OM_cost_per_MWh</t>
  </si>
  <si>
    <t>Var_OM_cost_per_MWh_in</t>
  </si>
  <si>
    <t>Fixed_OM_cost_per_MW_per_hour</t>
  </si>
  <si>
    <t>Fuel</t>
  </si>
  <si>
    <t>Heat_rate_MMBTU_per_MWh</t>
  </si>
  <si>
    <t>heat_rate_mmbtu_mwh_iqr</t>
  </si>
  <si>
    <t>heat_rate_mmbtu_mwh_std</t>
  </si>
  <si>
    <t>Min_power</t>
  </si>
  <si>
    <t>Ramp_Up_percentage</t>
  </si>
  <si>
    <t>Ramp_Dn_percentage</t>
  </si>
  <si>
    <t>Start_cost_per_MW</t>
  </si>
  <si>
    <t>Start_fuel_MMBTU_per_MW</t>
  </si>
  <si>
    <t>Up_time</t>
  </si>
  <si>
    <t>Down_time</t>
  </si>
  <si>
    <t>Self_disch</t>
  </si>
  <si>
    <t>Eff_up</t>
  </si>
  <si>
    <t>Eff_down</t>
  </si>
  <si>
    <t>Ratio_power_to_energy</t>
  </si>
  <si>
    <t>Min_Duration</t>
  </si>
  <si>
    <t>Max_Duration</t>
  </si>
  <si>
    <t>cluster</t>
  </si>
  <si>
    <t>zone</t>
  </si>
  <si>
    <t>voltage_level</t>
  </si>
  <si>
    <t>CapRes</t>
  </si>
  <si>
    <t>THERM</t>
  </si>
  <si>
    <t>DISP</t>
  </si>
  <si>
    <t>NDISP</t>
  </si>
  <si>
    <t>STOR</t>
  </si>
  <si>
    <t>DR</t>
  </si>
  <si>
    <t>HEAT</t>
  </si>
  <si>
    <t>NACC</t>
  </si>
  <si>
    <t>TRADER</t>
  </si>
  <si>
    <t>HYDRO</t>
  </si>
  <si>
    <t>RPS</t>
  </si>
  <si>
    <t>CES</t>
  </si>
  <si>
    <t>Commit</t>
  </si>
  <si>
    <t>Min_Share</t>
  </si>
  <si>
    <t>Max_Share</t>
  </si>
  <si>
    <t>Existing_Cap_MWh</t>
  </si>
  <si>
    <t>unmodified_existing_cap_mw</t>
  </si>
  <si>
    <t>New_Build</t>
  </si>
  <si>
    <t>Min_Cap_MW</t>
  </si>
  <si>
    <t>Max_Cap_MW</t>
  </si>
  <si>
    <t>Min_Share_percent</t>
  </si>
  <si>
    <t>Max_Share_percent</t>
  </si>
  <si>
    <t>capex</t>
  </si>
  <si>
    <t>Inv_cost_per_MWyr</t>
  </si>
  <si>
    <t>Fixed_OM_cost_per_MWyr</t>
  </si>
  <si>
    <t>capex_mwh</t>
  </si>
  <si>
    <t>Inv_cost_per_MWhyr</t>
  </si>
  <si>
    <t>Fixed_OM_cost_per_MWhyr</t>
  </si>
  <si>
    <t>NACC_Eff</t>
  </si>
  <si>
    <t>NACC_Peak_to_Base</t>
  </si>
  <si>
    <t>Reg_Up</t>
  </si>
  <si>
    <t>Reg_Dn</t>
  </si>
  <si>
    <t>Rsv_Up</t>
  </si>
  <si>
    <t>Rsv_Dn</t>
  </si>
  <si>
    <t>Reg_Cost</t>
  </si>
  <si>
    <t>Rsv_Cost</t>
  </si>
  <si>
    <t>spur_miles</t>
  </si>
  <si>
    <t>spur_capex</t>
  </si>
  <si>
    <t>offshore_spur_miles</t>
  </si>
  <si>
    <t>offshore_spur_capex</t>
  </si>
  <si>
    <t>tx_miles</t>
  </si>
  <si>
    <t>tx_capex</t>
  </si>
  <si>
    <t>interconnect_annuity</t>
  </si>
  <si>
    <t>Max_DSM_delay</t>
  </si>
  <si>
    <t>biomass</t>
  </si>
  <si>
    <t>WEC_SDGE</t>
  </si>
  <si>
    <t>None</t>
  </si>
  <si>
    <t>trans</t>
  </si>
  <si>
    <t>hydroelectric_pumped_storage</t>
  </si>
  <si>
    <t>natural_gas_fired_combined_cycle</t>
  </si>
  <si>
    <t>pacific_naturalgas</t>
  </si>
  <si>
    <t>natural_gas_fired_combustion_turbine</t>
  </si>
  <si>
    <t>onshore_wind_turbine</t>
  </si>
  <si>
    <t>small_hydroelectric</t>
  </si>
  <si>
    <t>solar_photovoltaic</t>
  </si>
  <si>
    <t>naturalgas_ccccsavgcf</t>
  </si>
  <si>
    <t>pacific_naturalgas_ccs90</t>
  </si>
  <si>
    <t>naturalgas_ccavgcf</t>
  </si>
  <si>
    <t>naturalgas_ctavgcf</t>
  </si>
  <si>
    <t>battery</t>
  </si>
  <si>
    <t>naturalgas_ccs100</t>
  </si>
  <si>
    <t>pacific_naturalgas_ccs100</t>
  </si>
  <si>
    <t>landbasedwind_ltrg1</t>
  </si>
  <si>
    <t>utilitypv_losangeles</t>
  </si>
  <si>
    <t>Used fields</t>
  </si>
  <si>
    <t>several</t>
  </si>
  <si>
    <t>OPEX</t>
  </si>
  <si>
    <t>Start</t>
  </si>
  <si>
    <t>Constraints</t>
  </si>
  <si>
    <t>r_id</t>
  </si>
  <si>
    <t>G_thermal</t>
  </si>
  <si>
    <t>G_nonthermal</t>
  </si>
  <si>
    <t>G_var</t>
  </si>
  <si>
    <t>G_nonvar</t>
  </si>
  <si>
    <t>G_nt_nonvar</t>
  </si>
  <si>
    <t>resource</t>
  </si>
  <si>
    <t>VRES</t>
  </si>
  <si>
    <t>ercot_brownfield_expansion_v1.0</t>
  </si>
  <si>
    <t>ercot_brownfield_expansion_v1.1</t>
  </si>
  <si>
    <t>Storage_data.xlx, Generators_data.xlsx and random_demand _original.csv
from bas_case storage MW and MWh scaled by a factor of 20</t>
  </si>
  <si>
    <t>41.0z</t>
  </si>
  <si>
    <t>40.0z</t>
  </si>
  <si>
    <t xml:space="preserve">solar, onshore wind and hydro installed capacity set to zero.
Demand.csv, random_demand.csv and reserves.csv from </t>
  </si>
  <si>
    <t>Net_load2019 normalized</t>
  </si>
  <si>
    <t>41.0.1u</t>
  </si>
  <si>
    <t>37.0u</t>
  </si>
  <si>
    <t>37.1s</t>
  </si>
  <si>
    <t>36.0u</t>
  </si>
  <si>
    <t>36.1s</t>
  </si>
  <si>
    <t>37.1.1s</t>
  </si>
  <si>
    <t>41.1z</t>
  </si>
  <si>
    <t>Included file</t>
  </si>
  <si>
    <t>autocorrelated demand from 5.2 with rho = 0.8, generated in random_demand.csv, included day on input timeseries</t>
  </si>
  <si>
    <t>base_case_increased_storage_energy_v7.0</t>
  </si>
  <si>
    <t>autocorrelated demand from 5.2</t>
  </si>
  <si>
    <t>base_case_increased_storage_energy_v7.x</t>
  </si>
  <si>
    <t>From base_case_increased_storage_energy_v5.2. x = rho</t>
  </si>
  <si>
    <t>50.0.9.1s</t>
  </si>
  <si>
    <t>energy_reserve = false
(days = [7], μs= [0.58,0.59,0.6,0.61,0.62,0.63,0.64,0.65]</t>
  </si>
  <si>
    <t>:ENS_MWh</t>
  </si>
  <si>
    <t>:LGEN_MWh</t>
  </si>
  <si>
    <t>:CUR_MWh</t>
  </si>
  <si>
    <t>:Δobjective_value_relative_ref_conf</t>
  </si>
  <si>
    <t>delete</t>
  </si>
  <si>
    <t>gcd_KPI_reserve</t>
  </si>
  <si>
    <t>:delivered_r_up_ratio</t>
  </si>
  <si>
    <t>:delivered_r_dn_ratio</t>
  </si>
  <si>
    <t>:E_delivered_r_up_MWh</t>
  </si>
  <si>
    <t>:E_deliverered_dn_MWh</t>
  </si>
  <si>
    <t>:objective_value</t>
  </si>
  <si>
    <t>:OPEX</t>
  </si>
  <si>
    <t>KPI_reserve</t>
  </si>
  <si>
    <t>41.1s</t>
  </si>
  <si>
    <t>41.0.1.1s</t>
  </si>
  <si>
    <t>energy_reserve = false
thermal_reserve = true</t>
  </si>
  <si>
    <t>36.0.1u</t>
  </si>
  <si>
    <t>Studying disagregation of OPEX</t>
  </si>
  <si>
    <t>battery installed capacity factor of 1</t>
  </si>
  <si>
    <t>System</t>
  </si>
  <si>
    <t>SDG&amp;E</t>
  </si>
  <si>
    <t>mu = 0 to 1 by 0.2</t>
  </si>
  <si>
    <t>mu = 0.4 to 1 by 0.05</t>
  </si>
  <si>
    <t>42.0s</t>
  </si>
  <si>
    <t>37.0.0</t>
  </si>
  <si>
    <t>Re runnning this case car des anomiels ont été détectés dans 37.0</t>
  </si>
  <si>
    <t>37.0.1</t>
  </si>
  <si>
    <t>s</t>
  </si>
  <si>
    <t>50.0.5.0.8z</t>
  </si>
  <si>
    <t>50.ρs</t>
  </si>
  <si>
    <t>50.ρ.0s</t>
  </si>
  <si>
    <t>energy_reserve = false
ρ = autocorrelation factor</t>
  </si>
  <si>
    <t>energy_reserve = false
empirical mu</t>
  </si>
  <si>
    <t>50.ρ.src</t>
  </si>
  <si>
    <t>energy_reserve = false
ρ = [0.0, 0.2, 0.4, 0.6, 0.8, 1.0]
src = [0.0, 0.2, 0.4, 0.6, 0.8, 1.0]</t>
  </si>
  <si>
    <t>energy_reserve = false
thermal_reserve = true
src = -1 i.e., optimizer choses participation level</t>
  </si>
  <si>
    <t>50.ρ.-1s</t>
  </si>
  <si>
    <t>50.ρ.src.1</t>
  </si>
  <si>
    <t>energy_reserve = false
ρ = [0.0, 0.2, 0.4, 0.6, 0.8, 1.0]
src = [0.0, 0.2, 0.4, 0.6, 0.8, 1.0]
μs =  [0, 0.1, 0.2, 0.3, 0.4, 0.5, 0.6, 0.7, 0.8, 0.9, 1]</t>
  </si>
  <si>
    <t>base_case_increased_storage_energy_v7.ρ</t>
  </si>
  <si>
    <t>51.ρs</t>
  </si>
  <si>
    <t>energy_reserve = true
ρ = autocorrelation factor
thermal_reserve = false</t>
  </si>
  <si>
    <t>v50.0.8.1.1.0u</t>
  </si>
  <si>
    <t>base_case_increased_storage_energy_v7.0.8.1</t>
  </si>
  <si>
    <t>found max error on ed scenarios for day 7, demand_629, and exchanged entire timeserie for demand_1</t>
  </si>
  <si>
    <t>base_case_increased_storage_energy_v7.0.8.0</t>
  </si>
  <si>
    <t>generated random demand and reserves again</t>
  </si>
  <si>
    <t>ESA</t>
  </si>
  <si>
    <t>42.1s</t>
  </si>
  <si>
    <t>energy_reserve = false
μs=[0.5, 0.6, 0.7, 0.8, 0.9,1]</t>
  </si>
  <si>
    <t>energy_reserve = true
μs=[1]</t>
  </si>
  <si>
    <t>base_case_increased_storage_energy_v7.0.8</t>
  </si>
  <si>
    <t>energy_reserve = false
Brunninx formulation</t>
  </si>
  <si>
    <t>50.08.10.3u</t>
  </si>
  <si>
    <t>energy_reserve = false
Brunninx formulation
constrain_SOE_by_envelopes = true</t>
  </si>
  <si>
    <t>50.08.10.4u</t>
  </si>
  <si>
    <t>energy_reserve = false
constrain_SOE_by_envelopes = true</t>
  </si>
  <si>
    <t>activate:
reserve_discharge_up_MW
reserve_charge_up_MW
reserve_discharge_down_MW
reserve_charge_down_MW</t>
  </si>
  <si>
    <t>50.0.8.1.0.2u</t>
  </si>
  <si>
    <t>50.0.8.1.0.5u</t>
  </si>
  <si>
    <t>52.0.8</t>
  </si>
  <si>
    <t>constraint_by_envelopes</t>
  </si>
  <si>
    <t>52.0.8.1</t>
  </si>
  <si>
    <t>constraint_by_envelopes and envelope with μ=1</t>
  </si>
  <si>
    <t>constraint_by_envelopes = true
energy_envelope = true</t>
  </si>
  <si>
    <t>v53.08</t>
  </si>
  <si>
    <t>51.0.8.1</t>
  </si>
  <si>
    <t>50.0.8.1.0.6</t>
  </si>
  <si>
    <t>50.0.8.1.0.7</t>
  </si>
  <si>
    <t>51.0.8.2</t>
  </si>
  <si>
    <t>energy_reserve = true
VLGEN = 1e4</t>
  </si>
  <si>
    <t>50.0.8.1.0.8</t>
  </si>
  <si>
    <t>energy_reserve = false
VLGEN = 1e4
no ED demand truncation</t>
  </si>
  <si>
    <t>51.0.8.3</t>
  </si>
  <si>
    <t>energy_reserve = true
VLGEN = 1e4
no ED demand truncation</t>
  </si>
  <si>
    <t>50.1.0.1.0.2u</t>
  </si>
  <si>
    <t>energy_reserve = false
us = 0.95,.96…1</t>
  </si>
  <si>
    <t>51.0.99.1</t>
  </si>
  <si>
    <t>base_case_increased_storage_energy_v7.0.99.0</t>
  </si>
  <si>
    <t>50.0.99.1.0.3u</t>
  </si>
  <si>
    <t>50.0.99.1.0.4u</t>
  </si>
  <si>
    <t>base_case_increased_storage_energy_v7.0.99.1</t>
  </si>
  <si>
    <t>energy_reserve = false
variables_to_constraint = gen,ch,dis</t>
  </si>
  <si>
    <t>50.0.99.1.0.5u</t>
  </si>
  <si>
    <t>energy_reserve = false
constraint_SOE = true</t>
  </si>
  <si>
    <t>energy_reserve = false
VLGEN = 1e4</t>
  </si>
  <si>
    <t>50.0.8.1.0.9</t>
  </si>
  <si>
    <t>energy_reserve = false
constraint_by_envelopes = true</t>
  </si>
  <si>
    <t>50.0.99.1.0.4.1u</t>
  </si>
  <si>
    <t>energy_reserve = false
variables_to_constraint = gen,ch,dis
VLGEN = 1e4</t>
  </si>
  <si>
    <t>50.0.8.1.0.10</t>
  </si>
  <si>
    <t>energy_reserve = false
constrain_SOE_by_envelopes = true
VLGEN = 1e4</t>
  </si>
  <si>
    <t>50.0.8.1.0.11</t>
  </si>
  <si>
    <t>50.0.8.1.0.12</t>
  </si>
  <si>
    <t>energy_reserve = false
constrain_SOE_by_envelopes = true
variables_to_constraint = gen,ch,dis</t>
  </si>
  <si>
    <t>energy_reserve = false
constrain_SOE_by_envelopes = true
envelope with mu = 1</t>
  </si>
  <si>
    <t>50.0.8.1.0.13</t>
  </si>
  <si>
    <t>50.0.8.1.0.14</t>
  </si>
  <si>
    <t>energy_reserve = false
constrain_SOE_by_envelopes = true
envelope with mu = 1
us more refined</t>
  </si>
  <si>
    <t>base_case_increased_storage_energy_v7.ρ.0</t>
  </si>
  <si>
    <t>54.ρ.0</t>
  </si>
  <si>
    <t>energy_reserve = false
ρ = [0.0,0.1, 0.2,0.3, 0.4,0.5, 0.6,0.7, 0.8,0.9,0.99]
μs =  [0, 0.1, 0.2, 0.3, 0.4, 0.5, 0.6, 0.7, 0.8, 0.9, 1]</t>
  </si>
  <si>
    <t>55.ρ.0</t>
  </si>
  <si>
    <t>energy_reserve = true
ρ = [0.0,0.1, 0.2,0.3, 0.4,0.5, 0.6,0.7, 0.8,0.9,0.99]
μs =  [1]</t>
  </si>
  <si>
    <t>50.0.99.1.0.3.1u</t>
  </si>
  <si>
    <t>s54.ρ.0</t>
  </si>
  <si>
    <t>stochastic
VLGEN = 1e4</t>
  </si>
  <si>
    <t>s54.ρ.1</t>
  </si>
  <si>
    <t>stochastic
VLGEN = 0</t>
  </si>
  <si>
    <t>54.ρ.1</t>
  </si>
  <si>
    <t xml:space="preserve">energy_reserve = false
ρ = [0.0,0.1, 0.2,0.3, 0.4,0.5, 0.6,0.7, 0.8,0.9,0.99]
more refined μs </t>
  </si>
  <si>
    <t>54.ρ.2</t>
  </si>
  <si>
    <t>constraint_by_envelopes = true
ρ = [0.0,0.1, 0.2,0.3, 0.4,0.5, 0.6,0.7, 0.8,0.9,0.99]
μs =  [0, 0.1, 0.2, 0.3, 0.4, 0.5, 0.6, 0.7, 0.8, 0.9, 1]</t>
  </si>
  <si>
    <t>54.0.8.0.1</t>
  </si>
  <si>
    <t>divided operational cost into production cost and fixed cost</t>
  </si>
  <si>
    <t>base_case_increased_storage_energy_v7.0.8.0
SDG&amp;E</t>
  </si>
  <si>
    <t>ESA v5 - saved</t>
  </si>
  <si>
    <t>s54.ρ.2</t>
  </si>
  <si>
    <t>stochastic
VLGEN = 0
expected_min_SOE = false</t>
  </si>
  <si>
    <t>ESA v5 - commited</t>
  </si>
  <si>
    <t>ESA v5 - not saved</t>
  </si>
  <si>
    <t>energy_reserve = false
ρ = [0.8]
μs =  [0, 0.1, 0.2, 0.3, 0.4, 0.5, 0.6, 0.7, 0.8, 0.9, 1]
get_dual_variables = true</t>
  </si>
  <si>
    <t>s54.0.8.1.1</t>
  </si>
  <si>
    <t>stochastic
get_dual_variables</t>
  </si>
  <si>
    <t>54.ρ.3</t>
  </si>
  <si>
    <t>reduced number of ed scenarios to 100 and re-calculated reserve.csv and energy reserve.csv requirements.</t>
  </si>
  <si>
    <t>54.ρ.4</t>
  </si>
  <si>
    <t>constraint_by_envelopes = false
ρ = [0.0,0.1, 0.2,0.3, 0.4,0.5, 0.6,0.7, 0.8]
µ_v1(ρ) =[0.3, 0.3, 0.33, 0.32, 0.37,0.38, 0.37, 0.5, 0.55]</t>
  </si>
  <si>
    <t>constraint_by_envelopes = false
ρ = [0.0,0.1, 0.2,0.3, 0.4,0.5, 0.6,0.7, 0.8]
µ_v2(ρ) =[0.35, 0.3, 0.33, 0.32, 0.37, 0.38, 0.47, 0.5, 0.62]</t>
  </si>
  <si>
    <t>54.ρ.5</t>
  </si>
  <si>
    <t>constraint_by_envelopes = false
ρ = [0.0,, 0.2,, 0.4, 0.6,, 0.8]
µ=µ(ρ,t)</t>
  </si>
  <si>
    <t>54.ρ.6</t>
  </si>
  <si>
    <t>constraint_by_envelopes = false
ρ = [0.0,0.1, 0.2,0.3, 0.4,0.5, 0.6,0.7, 0.8]
µ_v3(ρ) =[0.29, 0.27, 0.29, 0.29, 0.36, 0.34, 0.37, 0.45, 0.55</t>
  </si>
  <si>
    <t>energy_reserve = true
ρ = [0.0,0.1, 0.2,0.3, 0.4,0.5, 0.6,0.7, 0.8,0.9,0.99]
μs =  [1]
add_storage_reserve_power_constraints(model, storage, sets) ignored</t>
  </si>
  <si>
    <t>54.0.8.0.3</t>
  </si>
  <si>
    <t>54.0.8.0.4</t>
  </si>
  <si>
    <t>energy_reserve = false
ρ = [0.8]
μs =  [0, 0.1, 0.2, 0.3, 0.4, 0.5, 0.6, 0.7, 0.8, 0.9, 1]
get_dual_variables = true
added reserve and energy reserve requirements</t>
  </si>
  <si>
    <t>55.0.8.0.1</t>
  </si>
  <si>
    <t>energy_reserve = true
ρ = [0.8]
μs =  [1]
dual variables energy reserve requirements</t>
  </si>
  <si>
    <t>base_case_increased_storage_energy_v7.0.8.3</t>
  </si>
  <si>
    <t>lost track of it!</t>
  </si>
  <si>
    <t>base_case_increased_storage_energy_v7.0.8.1x</t>
  </si>
  <si>
    <t>base_case_increased_storage_energy_v7.0.8.2x</t>
  </si>
  <si>
    <t>55.c.1</t>
  </si>
  <si>
    <t>56.ρ.0</t>
  </si>
  <si>
    <t>base_case_increased_storage_energy_v7.ρ.1</t>
  </si>
  <si>
    <t>54.ρ.7</t>
  </si>
  <si>
    <t>54.ρ.8</t>
  </si>
  <si>
    <t>54.ρ.0 
VLGEN = 1e-6</t>
  </si>
  <si>
    <t>54.ρ.0  bis</t>
  </si>
  <si>
    <t>54.ρ.9</t>
  </si>
  <si>
    <t>54.ρ.0 
VLGEN = 1e-5</t>
  </si>
  <si>
    <t>54.ρ.10</t>
  </si>
  <si>
    <t>54.ρ.0 
VLGEN = 1e-4</t>
  </si>
  <si>
    <t>54.ρ.11</t>
  </si>
  <si>
    <t>54.ρ.0 
VLGEN = 1e-3</t>
  </si>
  <si>
    <t>b0e0057</t>
  </si>
  <si>
    <t>54.ρ.12</t>
  </si>
  <si>
    <t>VLGEN = 0
ρ = [0.0,0.1, 0.2,0.3, 0.4,0.5, 0.6,0.7, 0.8,0.9,0.99]
µ_v4(ρ) =[0.3, 0.3, 0.32, 0.32, 0.37, 0.38, 0.37, 0.49, 0.55,0.65,0.97]</t>
  </si>
  <si>
    <t>54.ρ.12
VLGEN = 1e-6</t>
  </si>
  <si>
    <t>54.ρ.12
VLGEN = 1e-5</t>
  </si>
  <si>
    <t>54.ρ.13</t>
  </si>
  <si>
    <t>54.ρ.14</t>
  </si>
  <si>
    <t>54.ρ.15</t>
  </si>
  <si>
    <t>54.ρ.12
VLGEN = 1e-4</t>
  </si>
  <si>
    <t>s55.ρ.0</t>
  </si>
  <si>
    <t>VLGEN = 1e-6
expected_min_SOE = true</t>
  </si>
  <si>
    <t>s55.ρ.1</t>
  </si>
  <si>
    <t>VLGEN = 1e-5
expected_min_SOE = true</t>
  </si>
  <si>
    <t>54.0.8.7.1</t>
  </si>
  <si>
    <t>54.ρ.0  bis
scaled down energy and capacity factor of batteries by 0.79 and 0.5, espectively (see input file notes)</t>
  </si>
  <si>
    <t>base_case_increased_storage_energy_v7.0.8.1.1</t>
  </si>
  <si>
    <t>Max_energy_MWh = Max_energy_MWh*0.79
Existing_Cap_MW = Existing_Cap_MW*0.5</t>
  </si>
  <si>
    <t>must be rerun to get mu = 1</t>
  </si>
  <si>
    <t>base_case_increased_storage_energy_v7.ρ.2</t>
  </si>
  <si>
    <t>applied cap to energy reserves: er[i,t] = min(er[i,t], sum(er[tt,tt] for tt&gt;=i and tt&lt;=t)
new SOC initial on storage.data based on results from  "solutions_v54.ρ.13s" (VLGEN = 1e-6)</t>
  </si>
  <si>
    <t>new SOC initial on storage.data based on results from  "solutions_v54.ρ.14s" " (VLGEN = 1e-5)</t>
  </si>
  <si>
    <t>base_case_increased_storage_energy_v8.ρ.1</t>
  </si>
  <si>
    <t>Maximum energy capacity of batteries scaled by 0.79
Maximum power capacity of batteries scaled by 0.5</t>
  </si>
  <si>
    <t>57.ρ.0</t>
  </si>
  <si>
    <t>base_case_increased_storage_energy_v7.0.8.1.2</t>
  </si>
  <si>
    <t>Max_energy_MWh = Max_energy_MWh*0.85
Existing_Cap_MW = Existing_Cap_MW*0.6</t>
  </si>
  <si>
    <t>base_case_increased_storage_energy_v8.ρ.2</t>
  </si>
  <si>
    <t>57.ρ.1</t>
  </si>
  <si>
    <t>Maximum energy capacity of batteries scaled by 0.85
Maximum power capacity of batteries scaled by 0.6
Final SOC from 57.ρ.1</t>
  </si>
  <si>
    <t>s57.ρ.1</t>
  </si>
  <si>
    <t>VLGEN = 1e-6
energy_Reserve = true</t>
  </si>
  <si>
    <t>58.ρ.1</t>
  </si>
  <si>
    <t>VLGEN = 1e-6
µ_v4(ρ) =[0.3, 0.3, 0.32, 0.32, 0.37, 0.38, 0.37, 0.49, 0.55,0.65,0.97]</t>
  </si>
  <si>
    <t>57.ρ.2</t>
  </si>
  <si>
    <t>VLGEN = 5000
µ_v4(ρ) =[0.3, 0.3, 0.32, 0.32, 0.37, 0.38, 0.37, 0.49, 0.55,0.65,0.97]</t>
  </si>
  <si>
    <t>57.ρ.3</t>
  </si>
  <si>
    <t>VLGEN = 30
µ_v4(ρ) =[0.3, 0.3, 0.32, 0.32, 0.37, 0.38, 0.37, 0.49, 0.55,0.65,0.97]</t>
  </si>
  <si>
    <t>Re-running to get dual variables</t>
  </si>
  <si>
    <t>base_case_increased_storage_energy_v8.ρ.3</t>
  </si>
  <si>
    <t>from base_case_increased_storage_energy_v8.ρ.2
final SOC from  57.ρ.3</t>
  </si>
  <si>
    <t>s57.ρ.3</t>
  </si>
  <si>
    <t>runnning</t>
  </si>
  <si>
    <t>VLGEN = 30
expected_min_SOE = true</t>
  </si>
  <si>
    <t>58.ρ.3</t>
  </si>
  <si>
    <t>VLGEN = 30
energy_Reserve = true</t>
  </si>
  <si>
    <t>66b6deb051</t>
  </si>
  <si>
    <t>57.ρ.4</t>
  </si>
  <si>
    <t>base_case_increased_storage_energy_v8.ρ.4</t>
  </si>
  <si>
    <t>58.ρ.4</t>
  </si>
  <si>
    <t>from base_case_increased_storage_energy_v8.ρ.3
removed 'demand' column from random_demand.csv to disregard this  from KPI calculations
final SOC from  57.ρ.4</t>
  </si>
  <si>
    <t>s57.ρ.4</t>
  </si>
  <si>
    <t>aa6b2ef96</t>
  </si>
  <si>
    <t>s57.ρ.6</t>
  </si>
  <si>
    <t>VLGEN = 100
expected_min_SOE = true
First-stage restrictions imposed on RES GEN</t>
  </si>
  <si>
    <t>s57.ρ.7</t>
  </si>
  <si>
    <t>s57.ρ.8</t>
  </si>
  <si>
    <t>VLGEN = 5000
expected_min_SOE = true
First-stage restrictions imposed on RES GEN
Time convergence problem for ρ = 0.8 (.9 and .99 not explore)</t>
  </si>
  <si>
    <t>VLGEN = 1000
expected_min_SOE = true
First-stage restrictions imposed on RES GEN
Time convergence problem for ρ = 0.8 (.9 and .99 not explored)</t>
  </si>
  <si>
    <t>s57.ρ.7.1</t>
  </si>
  <si>
    <t>s57.ρ.7.2</t>
  </si>
  <si>
    <t>s57.ρ.7.3</t>
  </si>
  <si>
    <t>VLGEN = 1000
expected_min_SOE = true
First-stage restrictions imposed on RES GEN
objective function = penalization costs (LOL + LGEN)</t>
  </si>
  <si>
    <t>VLGEN = 1000
expected_min_SOE = true
First-stage restrictions imposed on RES GEN
GEN renewables equal to avaialability</t>
  </si>
  <si>
    <t>VLGEN = 1000
expected_min_SOE = true
First-stage restrictions imposed on RES GEN
GEN renewables equal to avaialability
LGEN = 0 in variable definiton</t>
  </si>
  <si>
    <t>s57.ρ.7.4</t>
  </si>
  <si>
    <t>VLGEN = 1000
expected_min_SOE = true
First-stage restrictions imposed on RES GEN
mip_gap = 1e-2</t>
  </si>
  <si>
    <t>s57.ρ.7.5</t>
  </si>
  <si>
    <t>VLGEN = 1000
expected_min_SOE = true
First-stage restrictions imposed on RES GEN
mip_gap = 1e-3</t>
  </si>
  <si>
    <t>s57.ρ.7.6</t>
  </si>
  <si>
    <t>VLGEN = 1000
expected_min_SOE = true
First-stage restrictions imposed on RES GEN
mip_gap = 1e-4</t>
  </si>
  <si>
    <t>screen -r 17698</t>
  </si>
  <si>
    <t>VLGEN = 10000
expected_min_SOE = true
First-stage restrictions imposed on RES GEN
Time convergence problem for ρ = 0.8 (.9 and .99 not explore)</t>
  </si>
  <si>
    <t>s57.ρ.9</t>
  </si>
  <si>
    <t>57.0.3.4.1</t>
  </si>
  <si>
    <t>[1, 0.94, 0.85, 0.86, 0.82, 0.73, 0.65, 0.49, 0.25, 0.12, 0.09, 0.06, 0.05, 0.04, 0.03, 0.03, 0.02, 0.02, 0.02, 0.01, 0.01, 0, 0, 0]</t>
  </si>
  <si>
    <t>VLGEN = 30
µ_0.3_4 =(up = [1, 0.94, 0.93, 0.87, 0.87, 0.83, 0.79, 0.6, 0.34, 0.18, 0.1, 0.07, 0.05, 0.04, 0.03, 0.02, 0, 0, 0, 0, 0, 0, 0, 0], dn = [1, 0.94, 0.85, 0.86, 0.82, 0.73, 0.65, 0.49, 0.25, 0.12, 0.09, 0.06, 0.05, 0.04, 0.03, 0.03, 0.02, 0.02, 0.02, 0.01, 0.01, 0, 0, 0]))</t>
  </si>
  <si>
    <t>ss</t>
  </si>
  <si>
    <t>43ef10d</t>
  </si>
  <si>
    <t>base_case_increased_storage_energy_v8.ρ.4.1</t>
  </si>
  <si>
    <t>s57.ρ.7.7</t>
  </si>
  <si>
    <t>generate_ed_solutions(days = [7], μs=(µ_0_3 = (up = [1, 0.94, 0.93, 0.87, 0.87, 0.83, 0.79, 0.6, 0.34, 0.18, 0.1, 0.07, 0.05, 0.04, 0.03, 0.02, 0, 0, 0, 0, 0, 0, 0, 0], down = [1,0.94, 0.85, 0.86, 0.82, 0.73, 0.65, 0.49, 0.25, 0.12, 0.09, 0.06, 0.05, 0.04, 0.03, 0.03, 0.02, 0.02, 0.02, 0.01, 0.01, 0, 0, 0]),), input_folder = "./input/base_case_increased_storage_energy_v8.0.3.4", output_folder = "./output/solutions_v57.0.3.4.1u", energy_reserve = false, get_dual_variables = true)</t>
  </si>
  <si>
    <t>Removed rounding from final energy proportion on storage units</t>
  </si>
  <si>
    <t>25031d3dca1</t>
  </si>
  <si>
    <t>57.0.3.4.2</t>
  </si>
  <si>
    <t>57.0.3.4.3</t>
  </si>
  <si>
    <t>VLGEN = 30
µ_0.3_4 =(up =[1, 0.76, 0.81, 0.93, 0, 0, 0.47, 0.37, 0.23, 0.21, 0.36, 0.2, 0.6, 0.34, 0.97, 0, 0, 0, 0, 0, 0, 0, 0, 0], dn = [1, 0.8, 1, 0, 0, 0, 1, 0.65, 0, 0, 1, 0, 0.36, 0, 0, 0, 0, 0, 0.43, 0, 0.37, 0, 0, 0])) --&gt; 02042025 - empirical_mu</t>
  </si>
  <si>
    <t>VLGEN = 30
µ_0.3_4 =(up =[0.37, 0.09, 0, 0.35, 0.1, 0.07, 0.38, 0.34, 0.03, 0.34, 0.43, 0.49, 0.44, 0.37, 0.29, 0.24, 0.05, 0.19, 0.2, 0.06, 0.2, 0, 0.15, 0], dn =[0, 0.07, 0, 0.03, 0.14, 0.04, 0.24, 0.45, 0.29, 0.33, 0.29, 0.39, 0.29, 0.24, 0.23, 0.35, 0.39, 0.37, 0.18, 0.3, 0.28, 0.28, 0.14, 0])) --&gt; 02042025 - water_tank_empirical</t>
  </si>
  <si>
    <t>Max_energy_MWh</t>
  </si>
  <si>
    <t>Min_energy_MWh</t>
  </si>
  <si>
    <t>initial_energy_proportion</t>
  </si>
  <si>
    <t>Charge_efficiency</t>
  </si>
  <si>
    <t>Discharge_efficiency</t>
  </si>
  <si>
    <t>final_energy_proportion</t>
  </si>
  <si>
    <t>base_case_increased_storage_energy_v8.0.1.4</t>
  </si>
  <si>
    <t>57.ρ.5</t>
  </si>
  <si>
    <t xml:space="preserve"> for (m,r) in zip([0.35,0.38,0.38,0.4,0.42,0.44,0.43,0.49,0.55,0.67,1],[0.0,0.1,0.2,0.3,0.4,0.5,0.6,0.7,0.8,0.9,0.99]) generate_ed_solutions(days = [7], μs= [m,1], input_folder = "./input/base_case_increased_storage_energy_v8.$(r).4", output_folder = "./output/solutions_v57.$(r).5s", VLGEN = 30, get_dual_variables = true) end</t>
  </si>
  <si>
    <t>VLGEN = 30
µ_v5(ρ) =[0.35,0.38,0.38,0.4,0.42,0.44,0.43,0.49,0.55,0.67,1] --&gt; empircal mu from first methodology (24102024)</t>
  </si>
  <si>
    <t>57.ρ.6</t>
  </si>
  <si>
    <t xml:space="preserve"> for (m,r) in zip([0.3, 0.3, 0.32, 0.32, 0.37, 0.38, 0.37, 0.49, 0.55,0.65,0.97],[0.0,0.1,0.2,0.3,0.4,0.5,0.6,0.7,0.8,0.9,0.99]) generate_ed_solutions(days = [7], μs= [m,1], input_folder = "./input/base_case_increased_storage_energy_v8.$(r).4.1", output_folder = "./output/solutions_v57.$(r).6s", VLGEN = 30, get_dual_variables = true) end</t>
  </si>
  <si>
    <t>58.ρ.6</t>
  </si>
  <si>
    <t>for r in [0.0,0.1,0.2,0.3,0.4,0.5,0.6,0.7,0.8,0.9,0.99] generate_ed_solutions(days = [7], μs= [1], input_folder = "./input/base_case_increased_storage_energy_v8.$(r).4.1", output_folder = "./output/solutions_v58.$(r).6s", VLGEN = 30, get_dual_variables = true, energy_reserve = true) end</t>
  </si>
  <si>
    <t>fuel</t>
  </si>
  <si>
    <t>pre_process_generators_data</t>
  </si>
  <si>
    <t>minimum up/down time, commitmment logic</t>
  </si>
  <si>
    <t>ramp constraints</t>
  </si>
  <si>
    <t>G_thermal, G_nonthermal</t>
  </si>
  <si>
    <t>57.ρ.4.1</t>
  </si>
  <si>
    <t>0581a18277</t>
  </si>
  <si>
    <t>57.ρ.4.2</t>
  </si>
  <si>
    <t>VLGEN = 30
µ_v4(ρ) =[0.3, 0.3, 0.32, 0.32, 0.37, 0.38, 0.37, 0.49, 0.55,0.65,0.97]
get_dual_variables = false</t>
  </si>
  <si>
    <t xml:space="preserve"> for (m,r) in zip([0.3, 0.3, 0.32, 0.32, 0.37, 0.38, 0.37, 0.49, 0.55,0.65,0.97],[0.0,0.1,0.2,0.3,0.4,0.5,0.6,0.7,0.8,0.9,0.99]) generate_ed_solutions(days = [7], μs= [m,1], input_folder = "./input/base_case_increased_storage_energy_v8.$(r).4.1", output_folder = "./output/solutions_v57.$(r).4.1s", VLGEN = 30, get_dual_variables = true) end
Small diference in terms of energy not served with respect to 57.ρ.4. Maybe be due to change to gurobi 12</t>
  </si>
  <si>
    <t>RTS-GMLC_v1.0</t>
  </si>
  <si>
    <t>VLGEN = 30</t>
  </si>
  <si>
    <t>for (m,d) in zip([0.62,0.48,0.6,0.73,0.69,0.62,0.58],[1,2,3,4,5,6,7]) generate_ed_solutions(days = [d], μs= [m,1], input_folder = "./input/RTS-GMLC_v1.0", output_folder = "./output/RTS-GMLC_v1.0s", VLGEN = 30, get_dual_variables = true) end</t>
  </si>
  <si>
    <t>58.ρ.4.1</t>
  </si>
  <si>
    <t>Same values as ESA</t>
  </si>
  <si>
    <t>generate_ed_solutions(days = [1,2,3,4,5,6,7], μs= [1], input_folder = "./input/RTS-GMLC_v1.0", output_folder = "./output/RTS-GMLC_v2.0s", VLGEN = 30, energy_reserve = true,  get_dual_variables = true)</t>
  </si>
  <si>
    <t>Re-running previous case to check inconsistencies in input data</t>
  </si>
  <si>
    <t>9ee7ea93e</t>
  </si>
  <si>
    <t>s1.0s</t>
  </si>
  <si>
    <t>generate_suc_solutions(days = [1,2,3,4], input_folder = "./input/RTS-GMLC_v1.0", output_folder = "./output/RTS-GMLC_v_s1.0s", expected_min_SOE = true, VLGEN = 1e3, get_dual_variables = true)</t>
  </si>
  <si>
    <t>VLGEN = 1e3</t>
  </si>
  <si>
    <t>s1.1s</t>
  </si>
  <si>
    <t>for (m,d) in first(zip([0.62,0.48,0.6,0.73,0.69,0.62,0.58],[1,2,3,4,5,6,7]),4) generate_ed_solutions(days = [d], μs= [m,1], input_folder = "./input/RTS-GMLC_v1.0", output_folder = "./output/RTS-GMLC_v1.2s", VLGEN = 30, get_dual_variables = true) end</t>
  </si>
  <si>
    <t>s1.2s</t>
  </si>
  <si>
    <t xml:space="preserve">Storage_final_energy file not present in </t>
  </si>
  <si>
    <t>adfd57f</t>
  </si>
  <si>
    <t>2.0s</t>
  </si>
  <si>
    <t>2.1s</t>
  </si>
  <si>
    <t>2.2z</t>
  </si>
  <si>
    <t>generate_ed_solutions(days = [1], μs= [1], input_folder = "./input/RTS-GMLC_v1.0", output_folder = "./output/RTS-GMLC_v2.2s", VLGEN = 30, energy_reserve = true,  get_dual_variables = false)</t>
  </si>
  <si>
    <t>1.0s</t>
  </si>
  <si>
    <t>1.1s</t>
  </si>
  <si>
    <t>1.2s</t>
  </si>
  <si>
    <t>VLGEN = 30
energy_Reserve = true
dual variable = false</t>
  </si>
  <si>
    <t>2.3z</t>
  </si>
  <si>
    <t>bbe8a694</t>
  </si>
  <si>
    <t>2.1.1s</t>
  </si>
  <si>
    <t>VLGEN = 30
energy_reserve = true
Scaling VRESERVE  by *1/((|G_reserve|+1)/2) and penalization for all er[i,t] terms</t>
  </si>
  <si>
    <t>VLGEN = 30
energy_reserve = true
Testing of penalization for all er[i,t] terms</t>
  </si>
  <si>
    <t>1.3s</t>
  </si>
  <si>
    <t>VLGEN = 30
VSRESUP = 30
VSRESDN = 1e4</t>
  </si>
  <si>
    <t>2.4s</t>
  </si>
  <si>
    <t>VLGEN = 30
energy_reserve = true
VRESERVE = 1e-5 and Scaling VRESERVE  by *1/((|G_reserve|+1)/2)</t>
  </si>
  <si>
    <t>2.2.1z</t>
  </si>
  <si>
    <t>I think 06984b</t>
  </si>
  <si>
    <t>For day = 1,reserve_cost =  2.6275582855884387, OV=916031.830033</t>
  </si>
  <si>
    <t>39df5df2e</t>
  </si>
  <si>
    <t>VLGEN = 30
energy_reserve = true
penalization for all er[i,t] terms and removed scaling of VRESERVE
VSRESUP = 30
VSRESDN = 1e4</t>
  </si>
  <si>
    <t>RTS-GMLC_v1.1</t>
  </si>
  <si>
    <t>Storage energy and capacity divided by 2</t>
  </si>
  <si>
    <t>3.0s</t>
  </si>
  <si>
    <t>4.0s</t>
  </si>
  <si>
    <t>VLGEN = 30
VSRESUP = 30
VSRESDN = 1e4
energy_reserve = true</t>
  </si>
  <si>
    <t>for (m,d) in zip([0.62, 0.48, 0.6, 0.73],[1, 2, 3, 4]) generate_ed_solutions(days = [d], μs= [m,1], input_folder = "./input/RTS-GMLC_v1.1", output_folder = "./output/RTS-GMLC_v3.0s", VLGEN = 30, get_dual_variables = true) end</t>
  </si>
  <si>
    <t>VLGEN = 30
VSRESUP = 30
VSRESDN = 1e4
max_iterations = 1</t>
  </si>
  <si>
    <t>2.2.1s</t>
  </si>
  <si>
    <t>06984b</t>
  </si>
  <si>
    <t>re-running</t>
  </si>
  <si>
    <t>energy_reserve = true
penalization for all er[i,t] terms and removed scaling of VRESERVE</t>
  </si>
  <si>
    <t>7c42a12</t>
  </si>
  <si>
    <t>from 2.4
testing equality reserve requirements</t>
  </si>
  <si>
    <t>1.3.1</t>
  </si>
  <si>
    <t>from 1.3s
testing equality reserve requirements</t>
  </si>
  <si>
    <t>1.3.2</t>
  </si>
  <si>
    <t>from 1.3.1
VRESERVE = 0</t>
  </si>
  <si>
    <t>from 2.4.1
VRESERVE = 0</t>
  </si>
  <si>
    <t>2.4.2s</t>
  </si>
  <si>
    <t>2.4.1s</t>
  </si>
  <si>
    <t>3.1s</t>
  </si>
  <si>
    <t>VLGEN = 30
VSRESUP = 30
VSRESDN = 1e4
VRESERVE = 0</t>
  </si>
  <si>
    <t>4.1s</t>
  </si>
  <si>
    <t>VLGEN = 30
VSRESUP = 30
VSRESDN = 1e4
energy_reserve = true
VRESERVE = 0</t>
  </si>
  <si>
    <t>RTS-GMLC_v1.0.1</t>
  </si>
  <si>
    <t>RTS-GMLC_v1.0.2</t>
  </si>
  <si>
    <t>Net demand = Load - Solar</t>
  </si>
  <si>
    <t>Net demand = Load - Wind</t>
  </si>
  <si>
    <t>RTS-GMLC_v1.0.3</t>
  </si>
  <si>
    <t>Net demand = -Wind</t>
  </si>
  <si>
    <t>RTS-GMLC_v1.0.4</t>
  </si>
  <si>
    <t>Net demand = -Wind-Solar</t>
  </si>
  <si>
    <t>Not convergence for demand_33</t>
  </si>
  <si>
    <t>3.1.1</t>
  </si>
  <si>
    <t>4.1.1s</t>
  </si>
  <si>
    <t>VLGEN = 30
VSRESUP = 30
VSRESDN = 1e4
energy_reserve = true
VRESERVE = 0
mip_gap = 1e-4</t>
  </si>
  <si>
    <t>RTS-GMLC_v1.0.5</t>
  </si>
  <si>
    <t>net demand = Load</t>
  </si>
  <si>
    <t>RTS-GMLC_v1.0.6</t>
  </si>
  <si>
    <t>net demand = -solar</t>
  </si>
  <si>
    <t>RTS-GMLC_v2.0</t>
  </si>
  <si>
    <t>752c0c8</t>
  </si>
  <si>
    <t>4.2s</t>
  </si>
  <si>
    <t>3.2s</t>
  </si>
  <si>
    <t>VLGEN = 30
VSRESUP = 30
VSRESDN = 1e4
energy_reserve = true
mip_gap = 1e-4</t>
  </si>
  <si>
    <t>generate_ed_solutions(days = [1], μs= [1], input_folder = "./input/RTS-GMLC_v1.1", output_folder = "./output/RTS-GMLC_v4.2s", VLGEN = 30, energy_reserve = true,  get_dual_variables = true, mip_gap = 1e-4)</t>
  </si>
  <si>
    <t>4.2.1z</t>
  </si>
  <si>
    <t>VLGEN = 30
VSRESUP = 30
VSRESDN = 1e4
energy_reserve = true
mip_gap = 1e-4
VRESERVE -&gt; *(t-j+1)</t>
  </si>
  <si>
    <t>Didn’t work</t>
  </si>
  <si>
    <t>4.2.2z</t>
  </si>
  <si>
    <t>VLGEN = 30
VSRESUP = 30
VSRESDN = 1e4
energy_reserve = true
mip_gap = 1e-4
VRESERVE -&gt; /(t-j+1)</t>
  </si>
  <si>
    <t>RTS-GMLC_v2.1</t>
  </si>
  <si>
    <t>for (m,d) in zip([0.62, 0.48, 0.6, 0.73],[1, 2, 3, 4])  generate_ed_solutions(days = [d], μs= [m,1], input_folder = "./input/RTS-GMLC_v1.1", output_folder = "./output/RTS-GMLC_v3.2s", VLGEN = 30, get_dual_variables = true, mip_gap = 1e-4) end</t>
  </si>
  <si>
    <t xml:space="preserve">752c0c8 </t>
  </si>
  <si>
    <t xml:space="preserve">VLGEN = 30
VSRESUP = 30
VSRESDN = 1e4
VRESERVE = 0
mip_gap = 1e-4
possibly, this line: if hasproperty(out, :redispatch_cost) &amp;&amp; hasproperty(out, :redispatch_cost)
            out.objective_value_uc = out.objective_value_uc .+ out.slack_reserve_up_cost_uc .+ out.slack_reserve_down_cost_uc
        end
was added before lunching
</t>
  </si>
  <si>
    <t>896bff1</t>
  </si>
  <si>
    <t>3.3s</t>
  </si>
  <si>
    <t>VLGEN = 30
VSRESUP = 30
VSRESDN = 1e4
mip_gap = 1e-4
VRESERVE = 1e-6
possibly, this line:</t>
  </si>
  <si>
    <t>3.4s</t>
  </si>
  <si>
    <t>257785a</t>
  </si>
  <si>
    <t>VLGEN = 30
VSRESUP = 30
VSRESDN = 1e4
mip_gap = 1e-4
VRESERVE = 1e-6
putting back sotrage reserve repartinio</t>
  </si>
  <si>
    <t>VLGEN = 30
VSRESUP = 30
VSRESDN = 1e4
mip_gap = 1e-4
VRESERVE = 1e-6
fixin slack one ED</t>
  </si>
  <si>
    <t>VLGEN = 30
VSRESUP = 30
VSRESDN = 1e4
mip_gap = 1e-4
VRESERVE = 1</t>
  </si>
  <si>
    <t>3.6s</t>
  </si>
  <si>
    <t>3eeea07</t>
  </si>
  <si>
    <t>VLGEN = 30
VSRESUP = 30
VSRESDN = 1e4
mip_gap = 1e-4
VRESERVE = 1e-6
adding back equality constraint for reserve requirements</t>
  </si>
  <si>
    <t>3.4.1</t>
  </si>
  <si>
    <t>VLGEN = 30
VSRESUP = 30
VSRESDN = 1e4
mip_gap = 1e-4
VRESERVE = 1e-6
corrected flag for activating storage reserve repartition</t>
  </si>
  <si>
    <t>3.4.2</t>
  </si>
  <si>
    <t>4c3e634</t>
  </si>
  <si>
    <t>VLGEN = 30
VSRESUP = 30
VSRESDN = 1e4
mip_gap = 1e-4
VRESERVE = 1e-6
corrected bug for activating storage reserve repartition</t>
  </si>
  <si>
    <t>3.4.3</t>
  </si>
  <si>
    <t>from 3.4.3
VLGEN = 30
VSRESUP = 30
VSRESDN = 1e4
mip_gap = 1e-8
VRESERVE = 0</t>
  </si>
  <si>
    <t>3.4.5s</t>
  </si>
  <si>
    <t>from 3.4.3
VLGEN = 30
VSRESUP = 30
VSRESDN = 1e4
mip_gap = 1e-8
VRESERVE = 1e-6</t>
  </si>
  <si>
    <t>643da11</t>
  </si>
  <si>
    <t>3.4.6s</t>
  </si>
  <si>
    <t>VLGEN = 30
VSRESUP = 30
VSRESDN = 1e4
mip_gap = 1e-8
VRESERVE = 1e-6</t>
  </si>
  <si>
    <t>5.0s</t>
  </si>
  <si>
    <t>for (m,d) in zip([0.62, 0.48, 0.6],[1, 2, 3])  generate_ed_solutions(days = [d], μs= [m,1], input_folder = "./input/RTS-GMLC_v1.1", output_folder = "./output/RTS-GMLC_v5.0s", VLGEN = 30, get_dual_variables = true, mip_gap = 1e-8, VRESERVE = 1e-6, VSRESUP = 250, VSRESDN = 250) end</t>
  </si>
  <si>
    <t>generate_ed_solutions(days = [1,2,3], μs= [1], input_folder = "./input/RTS-GMLC_v1.1", output_folder = "./output/RTS-GMLC_v6.0s", VLGEN = 30, energy_reserve = true,  get_dual_variables = true, mip_gap = 1e-8, VRESERVE = 1E-6, VSRESUP=250, VSRESDN=250)</t>
  </si>
  <si>
    <t>RTS-GMLC_v2.1.1</t>
  </si>
  <si>
    <t>RTS-GMLC_v2.1.2</t>
  </si>
  <si>
    <t>net_demand = -wind</t>
  </si>
  <si>
    <t>net_demand = -solar</t>
  </si>
  <si>
    <t>8.0s</t>
  </si>
  <si>
    <t>7.0s</t>
  </si>
  <si>
    <t>for (m,d) in zip([0.54,0.49,0.63,0.67,0.62,0.58,0.54,0.55],[1,2,3,4,5,6,7]) generate_ed_solutions(days = [d], μs= [m,1], input_folder = "./input/RTS-GMLC_v2.1", output_folder = "./output/RTS-GMLC_v7.0s", VLGEN = 30, get_dual_variables = true, mip_gap = 1e-4, VRESERVE = 1e-6, VSRESUP = 250, VSRESDN = 250) end</t>
  </si>
  <si>
    <t>s5.0s</t>
  </si>
  <si>
    <t>generate_suc_solutions(days = [1,2,3], input_folder = "./input/RTS-GMLC_v1.1", output_folder = "./output/RTS-GMLC_v_s5.0s", expected_min_SOE = true, VLGEN = 1e3, get_dual_variables = true)</t>
  </si>
  <si>
    <t>generate_suc_solutions(days = [3], input_folder = "./input/RTS-GMLC_v1.1", output_folder = "./output/RTS-GMLC_v_s5.1s", expected_min_SOE = true, VLGEN = 30, get_dual_variables = true, mip_gap = 1e-4)</t>
  </si>
  <si>
    <t>VLGEN = 1e3
mip_gap =1e-4</t>
  </si>
  <si>
    <t>6.1s</t>
  </si>
  <si>
    <t>bfdcb0</t>
  </si>
  <si>
    <t>5.2s</t>
  </si>
  <si>
    <t>6.2s</t>
  </si>
  <si>
    <t>generate_ed_solutions(days = [1,2,3], μs= [1], input_folder = "./input/RTS-GMLC_v1.1", output_folder = "./output/RTS-GMLC_v6.2s", VLGEN = 30, energy_reserve = true,  get_dual_variables = true, mip_gap = 1e-8, VRESERVE = 1E-6, VSRESUP=250, VSRESDN=250, constrain_dispatch = false, thermal_reserve = true )</t>
  </si>
  <si>
    <t>for (m,d) in zip([0.62, 0.48, 0.6],[1, 2, 3])  generate_ed_solutions(days = [d], μs= [m,1], input_folder = "./input/RTS-GMLC_v1.1", output_folder = "./output/RTS-GMLC_v5.2s", VLGEN = 30, get_dual_variables = true, mip_gap = 1e-4, VRESERVE = 1e-6, VSRESUP = 250, VSRESDN = 250, constrain_dispatch = false, thermal_reserve = true) end</t>
  </si>
  <si>
    <t>bfdcb02</t>
  </si>
  <si>
    <t>6.0bis</t>
  </si>
  <si>
    <t>5.0bis</t>
  </si>
  <si>
    <t>OV_uc slightly increased thanks to robust constraints. We still observe eens in day 3. Robust constraints not well implemented</t>
  </si>
  <si>
    <t>c8a7ac</t>
  </si>
  <si>
    <t>6.0.1s</t>
  </si>
  <si>
    <t>same as 6.0s</t>
  </si>
  <si>
    <t>same as previous
mip_gap = 1e-4</t>
  </si>
  <si>
    <t>5.2.1s</t>
  </si>
  <si>
    <t>5.0.1s</t>
  </si>
  <si>
    <t>for (m,d) in zip([0.62, 0.48, 0.6],[1, 2, 3])  generate_ed_solutions(days = [d], μs= [m,1], input_folder = "./input/RTS-GMLC_v1.1", output_folder = "./output/RTS-GMLC_v5.2.1s", VLGEN = 30, get_dual_variables = true, mip_gap = 1e-4, VRESERVE = 1e-6, VSRESUP = 250, VSRESDN = 250, constrain_dispatch = false, thermal_reserve = true) end</t>
  </si>
  <si>
    <t>6.2.1s</t>
  </si>
  <si>
    <t>generate_ed_solutions(days = [1,2,3], μs= [1], input_folder = "./input/RTS-GMLC_v1.1", output_folder = "./output/RTS-GMLC_v6.2.1s", VLGEN = 30, energy_reserve = true,  get_dual_variables = true, mip_gap = 1e-8, VRESERVE = 1E-6, VSRESUP=250, VSRESDN=250, constrain_dispatch = false, thermal_reserve = true )</t>
  </si>
  <si>
    <t>same as 6.0s
robust  constraints (testing) added on energy reserve</t>
  </si>
  <si>
    <t>generate_ed_solutions(days = [1,2,3], μs= [1], input_folder = "./input/RTS-GMLC_v1.1", output_folder = "./output/RTS-GMLC_v6.0.1s", VLGEN = 30, energy_reserve = true,  get_dual_variables = true, mip_gap = 1e-8, VRESERVE = 1E-6, VSRESUP=250, VSRESDN=250)
objective functio equal to 6.0bis</t>
  </si>
  <si>
    <t>same as 5.0s</t>
  </si>
  <si>
    <t>exactly same EOV as 5.0s</t>
  </si>
  <si>
    <t>for (m,d) in zip([0.62, 0.48, 0.6],[1, 2, 3])  generate_ed_solutions(days = [d], μs= [m,1], input_folder = "./input/RTS-GMLC_v1.1", output_folder = "./output/RTS-GMLC_v5.0.1s", VLGEN = 30, get_dual_variables = true, mip_gap = 1e-4, VRESERVE = 1e-6, VSRESUP = 250, VSRESDN = 250) end
Objective value equal to 5.0bis</t>
  </si>
  <si>
    <t>780a896</t>
  </si>
  <si>
    <t>same as 5.2.1s
extracting dual values of ramp constraints</t>
  </si>
  <si>
    <t>5.2.2s</t>
  </si>
  <si>
    <t>6.2.2s</t>
  </si>
  <si>
    <t>same as 6.2.1s
extracting dual variables for ramp constraints</t>
  </si>
  <si>
    <t>VLGEN = 30
mip_gap = 1e-8
VRESERVE = 1e-6
VRESUP = VRESDN = 250
thermal_reserve = false
constrain_dispatch = true</t>
  </si>
  <si>
    <t>6.2.3s</t>
  </si>
  <si>
    <t>5.2.3s</t>
  </si>
  <si>
    <t>5.2.4s</t>
  </si>
  <si>
    <t>6.2.4s</t>
  </si>
  <si>
    <t>VLGEN = 30
mip_gap = 1e-8
VRESERVE = 1e-6
VRESUP = VRESDN = 250
thermal_reserve = true
constrain_dispatch = true</t>
  </si>
  <si>
    <t>5.2.2.1s</t>
  </si>
  <si>
    <t>5.2.2.2s</t>
  </si>
  <si>
    <t>same as 5.2.2s
µ = [0,0.1,0.2,0.3,0.4,0.5,0.6,0.7,0.8,0.9]</t>
  </si>
  <si>
    <t>same as  5.2.2s
µ=[0.9, 0.91, … ,0.99, 1]</t>
  </si>
  <si>
    <t>RTS-GMLC_v1.2</t>
  </si>
  <si>
    <t>First operative version
Final energy proportion updated from RTS-GMLC_v1.0
100 scenarios &amp; Forecast_1 as central profile</t>
  </si>
  <si>
    <t>From RTS-GMLC_v1.0
Added missing days (59 to 98) for solar profiles on net_demand, random demand and demand scenarios. Reserves recalculated
Changed to 500 scenarios &amp; mean of scenarios as forecasted net demand
Bug on day columns in Generators_variability.csv corrected. Days where defining day of the month instead day of the year.</t>
  </si>
  <si>
    <t>5.2.2.3z</t>
  </si>
  <si>
    <t>same as 5.2.2s</t>
  </si>
  <si>
    <t>envelope_compare_v1s</t>
  </si>
  <si>
    <t>b1502d2d</t>
  </si>
  <si>
    <t>VLGEN = 30
mip_gap = 1e-8
VRESERVE = 1e-6
VRESUP = VRESDN = 250
thermal_reserve = true
constrain_dispatch = false</t>
  </si>
  <si>
    <t>VLGEN = 30
mip_gap = 1e-8
VRESERVE = 1e-6
VRESUP = VRESDN = 250
thermal_reserve = true
constrain_dispatch = false
energy_reserve = true</t>
  </si>
  <si>
    <t>e_reserve_compare_v1s</t>
  </si>
  <si>
    <t>envelope_compare_v0s</t>
  </si>
  <si>
    <t>same as envelope_compare_v1s</t>
  </si>
  <si>
    <t>fe2f20d</t>
  </si>
  <si>
    <t>envelope_compare_v0.5s</t>
  </si>
  <si>
    <t>-----</t>
  </si>
  <si>
    <t>envelope_compare_v1.5s</t>
  </si>
  <si>
    <t>635df60cdf</t>
  </si>
  <si>
    <t>envelope_compare_v1.6s</t>
  </si>
  <si>
    <t>7a75791</t>
  </si>
  <si>
    <t>ff78bda</t>
  </si>
  <si>
    <t>0c0ffcd</t>
  </si>
  <si>
    <t>envelope_compare_v1.7s</t>
  </si>
  <si>
    <t>for (m,d) in zip([0.62, 0.48, 0.6],[1, 2, 3])  generate_ed_solutions(days = [d], μs= [m,1], input_folder = "./input/RTS-GMLC_v1.2", output_folder = "./output/RTS-GMLC_v7.0s", VLGEN = 30, get_dual_variables = true, mip_gap = 1e-8, VRESERVE = 1e-6, VSRESUP = 250, VSRESDN = 250, constrain_dispatch = false, thermal_reserve = true) end</t>
  </si>
  <si>
    <t>9.0s</t>
  </si>
  <si>
    <t>generate_ed_solutions(days = [1,2,3], μs= [1], input_folder = "./input/RTS-GMLC_v1.2", output_folder = "./output/RTS-GMLC_v8.0s", VLGEN = 30, energy_reserve = true,  get_dual_variables = true, mip_gap = 1e-8, VRESERVE = 1E-6, VSRESUP=250, VSRESDN=250, constrain_dispatch = false, thermal_reserve = true )</t>
  </si>
  <si>
    <t>8.1.s</t>
  </si>
  <si>
    <t>7.1.s</t>
  </si>
  <si>
    <t>be338ad</t>
  </si>
  <si>
    <t>envelope_compare_v1.8s</t>
  </si>
  <si>
    <t>envelope_compare_v1.9s</t>
  </si>
  <si>
    <t>a390610</t>
  </si>
  <si>
    <t>envelope_compare_v1.10s</t>
  </si>
  <si>
    <t>da64e7f</t>
  </si>
  <si>
    <t>envelope_compare_v1.11s</t>
  </si>
  <si>
    <t>58cbe50</t>
  </si>
  <si>
    <t>envelope_compare_v1.12s</t>
  </si>
  <si>
    <t>11913dc</t>
  </si>
  <si>
    <t>envelope_compare_v1.13s</t>
  </si>
  <si>
    <t>4befee9</t>
  </si>
  <si>
    <t>d24a6fe</t>
  </si>
  <si>
    <t>envelope_compare_v1.14s</t>
  </si>
  <si>
    <t>envelope_compare_v1.15s</t>
  </si>
  <si>
    <t>58b7fa</t>
  </si>
  <si>
    <t>7.2.s</t>
  </si>
  <si>
    <t>for (m,d) in zip([0.62, 0.48, 0.6],[1, 2, 3])  generate_ed_solutions(days = [d], μs= [m,1], input_folder = "./input/RTS-GMLC_v1.2", output_folder = "./output/RTS-GMLC_v7.2s", VLGEN = 30, get_dual_variables = true, mip_gap = 1e-8, VRESERVE = 1e-6, VSRESUP = 250, VSRESDN = 250, constrain_dispatch = false, thermal_reserve = true) end</t>
  </si>
  <si>
    <t>VLGEN = 30
mip_gap = 1e-8
VRESERVE = 1e-6
VRESUP = VRESDN = 250
energy_reserve = false</t>
  </si>
  <si>
    <t>generate_ed_solutions(days = [1,2,3], μs= [1], input_folder = "./input/RTS-GMLC_v1.2", output_folder = "./output/RTS-GMLC_v8.2s", VLGEN = 30, energy_reserve = true,  get_dual_variables = true, mip_gap = 1e-8, VRESERVE = 1E-6, VSRESUP=250, VSRESDN=250, constrain_dispatch = false, thermal_reserve = true )</t>
  </si>
  <si>
    <t>8.2.s</t>
  </si>
  <si>
    <t>58b7fae</t>
  </si>
  <si>
    <t>envelope_compare_v1.16s</t>
  </si>
  <si>
    <t>907d140</t>
  </si>
  <si>
    <t>780a896b</t>
  </si>
  <si>
    <t>envelope_benchmark_s</t>
  </si>
  <si>
    <t>envelope_benchmark_v1.0s</t>
  </si>
  <si>
    <t>VLGEN = 30
mip_gap = 1e-8
VRESERVE = 1e-6
VRESUP = VRESDN = 250
thermal_reserve = true
constrain_dispatch = false
constrain_SOE_by_envelope = true</t>
  </si>
  <si>
    <t>envelope_compare_v1.16.1s</t>
  </si>
  <si>
    <t>benchmarking with envelope_benchmark_v1.0s. Values are ok for µ = 1. For other values, envelopes in  envelope_benchmark_v1.0s disregard multiplers and hence results are not equal</t>
  </si>
  <si>
    <t>envelope_compare_v1.17s</t>
  </si>
  <si>
    <t>9d3f814</t>
  </si>
  <si>
    <t>envelope_compare_v1.18s</t>
  </si>
  <si>
    <t>envelope_compare_v1.19s</t>
  </si>
  <si>
    <t>9bdb3db</t>
  </si>
  <si>
    <t>7bb9f8a</t>
  </si>
  <si>
    <t>envelope_compare_v1.20s</t>
  </si>
  <si>
    <t>envelope_compare_v1.21s</t>
  </si>
  <si>
    <t>8c40fb8</t>
  </si>
  <si>
    <t>7c74312</t>
  </si>
  <si>
    <t>envelope_compare_v1.22s</t>
  </si>
  <si>
    <t>envelope_compare_v1.23s</t>
  </si>
  <si>
    <t>6f1c70d</t>
  </si>
  <si>
    <t>envelope_compare_v1.24s</t>
  </si>
  <si>
    <t>b6859e0</t>
  </si>
  <si>
    <t>536392f</t>
  </si>
  <si>
    <t>envelope_compare_v1.25s</t>
  </si>
  <si>
    <t>e_reserve_compare_v1.24s</t>
  </si>
  <si>
    <t>e_reserve_compare_v1.25s</t>
  </si>
  <si>
    <t>Three a small change in the UC's objective function within mip_gap. No impact on the ED problem.</t>
  </si>
  <si>
    <t>ef37430</t>
  </si>
  <si>
    <t>envelope_compare_v1.26s</t>
  </si>
  <si>
    <t>e_reserve_compare_v1.26s</t>
  </si>
  <si>
    <t>envelope_compare_v1.27s</t>
  </si>
  <si>
    <t>e_reserve_compare_v1.27s</t>
  </si>
  <si>
    <t>062bae2</t>
  </si>
  <si>
    <t>envelope_compare_v1.27.1s</t>
  </si>
  <si>
    <t>same as envelope_compare_v1s
constraint_dispatch = true</t>
  </si>
  <si>
    <t>e_reserve_compare_v1.27.1s</t>
  </si>
  <si>
    <t>envelope_benchmark_v1.1s</t>
  </si>
  <si>
    <t>VLGEN = 30
mip_gap = 1e-8
VRESERVE = 1e-6
VRESUP = VRESDN = 250
thermal_reserve = true
constrain_dispatch = true
constrain_SOE_by_envelope = false</t>
  </si>
  <si>
    <t>276746e</t>
  </si>
  <si>
    <t>envelope_compare_v1.28s</t>
  </si>
  <si>
    <t>envelope_compare_v1.28.1s</t>
  </si>
  <si>
    <t>e_reserve_compare_v1.28s</t>
  </si>
  <si>
    <t>e_reserve_compare_v1.28.1s</t>
  </si>
  <si>
    <t>envelope_compare_v1.29s</t>
  </si>
  <si>
    <t>cbe0351</t>
  </si>
  <si>
    <t>7.3.s</t>
  </si>
  <si>
    <t>for (m,d) in zip([0.62, 0.48, 0.6],[1, 2, 3])  generate_ed_solutions(days = [d], μs= [m,1], input_folder = "./input/RTS-GMLC_v1.2", output_folder = "./output/RTS-GMLC_v7.3s", VLGEN = 30, get_dual_variables = true, mip_gap = 1e-8, VRESERVE = 1e-6, VSRESUP = 250, VSRESDN = 250, constrain_dispatch = false, thermal_reserve = true) end</t>
  </si>
  <si>
    <t>8.3s</t>
  </si>
  <si>
    <t>generate_ed_solutions(days = [1,2,3], μs= [1], input_folder = "./input/RTS-GMLC_v1.2", output_folder = "./output/RTS-GMLC_v8.3s", VLGEN = 30, energy_reserve = true,  get_dual_variables = true, mip_gap = 1e-8, VRESERVE = 1E-6, VSRESUP=250, VSRESDN=250, constrain_dispatch = false, thermal_reserve = true )</t>
  </si>
  <si>
    <t>envelope_compare_v1.29.1s</t>
  </si>
  <si>
    <t>envelope_compare_v1.30.1s</t>
  </si>
  <si>
    <t>e_reserve_compare_v1.29s</t>
  </si>
  <si>
    <t>e_reserve_compare_v1.29.1s</t>
  </si>
  <si>
    <t>e_reserve_compare_v1.30.1s</t>
  </si>
  <si>
    <t>generate_ed_solutions(days = [2,3], μs= [0.5, 1], input_folder = "./input/RTS-GMLC_v1.2", output_folder = "./output/RTS-GMLC_e_reserve_compare_v1.29.1s", constrain_dispatch = true, thermal_reserve = true, energy_reserve = true, max_iterations = 1)</t>
  </si>
  <si>
    <t>0a84d35</t>
  </si>
  <si>
    <t>envelope_compare_v1.30s</t>
  </si>
  <si>
    <t>generate_ed_solutions(days = [1,2,3], μs= [1], input_folder = "./input/RTS-GMLC_v1.2", output_folder = "./output/RTS-GMLC_v8.4s", energy_reserve = true, constrain_dispatch = false, thermal_reserve = true )</t>
  </si>
  <si>
    <t>8.4s</t>
  </si>
  <si>
    <t>7.4s</t>
  </si>
  <si>
    <t>for (m,d) in zip([0.62, 0.48, 0.6],[1, 2, 3])  generate_ed_solutions(days = [d], μs= [m,1], input_folder = "./input/RTS-GMLC_v1.2", output_folder = "./output/RTS-GMLC_v7.4s", energ_reserve = false, constrain_dispatch = false, thermal_reserve = true) end</t>
  </si>
  <si>
    <t>e_reserve_compare_v1.30s</t>
  </si>
  <si>
    <t>generate_ed_solutions(days = [2,3], μs= [0.5, 1], input_folder = "./input/RTS-GMLC_v1.2", output_folder = "./output/RTS-GMLC_e_reserve_compare_v1.29.1s", constrain_dispatch = false, thermal_reserve = true, energy_reserve = true, max_iterations = 1)</t>
  </si>
  <si>
    <t>generate_ed_solutions(days = [2,3], μs= [0.5, 1], input_folder = "./input/RTS-GMLC_v1.2", output_folder = "./output/RTS-GMLC_envelope_compare_v1.30.1s", constrain_dispatch = true, thermal_reserve = true, energy_reserve = false, max_iterations = 1)</t>
  </si>
  <si>
    <t>Storage energy and capacity divided by 2
Bug on day columns in Generators_variability.csv corrected. Days were defined as the day of the month instead of the day of the year.
2020 is a leap year, the last day of the year day 31 of december, is missing from imbalance scenarios.</t>
  </si>
  <si>
    <t>Bug on day columns in Generators_variability.csv corrected. Days were defined as the day of the month instead of the day of the year.
2020 is a leap  year, the last day of the year day 31 of december, is missing from imbalance scenarios.</t>
  </si>
  <si>
    <t>RTS-GMLC_v2.2</t>
  </si>
  <si>
    <t>10.0s</t>
  </si>
  <si>
    <r>
      <t xml:space="preserve">mip_gap =  1e-8
G_CONSTRAIN_DISPATCH  = true
normalize_reserve_variables = [GEN, DIS, CH]
remove_variable_constraint(ed, :SOEFinal)
VRESESERVE = 1e-7 for thermal
VRESESERVE = 1e-8 for storage
</t>
    </r>
    <r>
      <rPr>
        <strike/>
        <sz val="11"/>
        <rFont val="Calibri"/>
        <family val="2"/>
        <scheme val="minor"/>
      </rPr>
      <t>START cost = 0</t>
    </r>
  </si>
  <si>
    <r>
      <t xml:space="preserve">mip_gap =  1e-8
G_CONSTRAIN_DISPATCH  = true
normalize_reserve_variables = [GEN, DIS, CH]
remove_variable_constraint(ed, :SOEFinal)
VRESESERVE = VRESESERVE = 1e-6
</t>
    </r>
    <r>
      <rPr>
        <strike/>
        <sz val="11"/>
        <rFont val="Calibri"/>
        <family val="2"/>
        <scheme val="minor"/>
      </rPr>
      <t>SOE_0 = SOE_F</t>
    </r>
  </si>
  <si>
    <r>
      <t xml:space="preserve">mip_gap =  1e-8
</t>
    </r>
    <r>
      <rPr>
        <strike/>
        <sz val="11"/>
        <rFont val="Calibri"/>
        <family val="2"/>
        <scheme val="minor"/>
      </rPr>
      <t>G_CONSTRAIN_DISPATCH  = true
normalize_reserve_variables = [GEN, DIS, CH]</t>
    </r>
    <r>
      <rPr>
        <sz val="11"/>
        <rFont val="Calibri"/>
        <family val="2"/>
        <scheme val="minor"/>
      </rPr>
      <t xml:space="preserve">
remove_variable_constraint(ed, :SOEFinal)
VRESESERVE = 1e6
</t>
    </r>
    <r>
      <rPr>
        <strike/>
        <sz val="11"/>
        <rFont val="Calibri"/>
        <family val="2"/>
        <scheme val="minor"/>
      </rPr>
      <t>objective funtion = VLOL*sum(LOL[t] for t in T) + VLGEN*sum(LGEN[t] for t in T)</t>
    </r>
  </si>
  <si>
    <r>
      <t xml:space="preserve">mip_gap =  1e-8
</t>
    </r>
    <r>
      <rPr>
        <strike/>
        <sz val="11"/>
        <rFont val="Calibri"/>
        <family val="2"/>
        <scheme val="minor"/>
      </rPr>
      <t>G_CONSTRAIN_DISPATCH  = true
normalize_reserve_variables = [GEN, DIS, CH]</t>
    </r>
    <r>
      <rPr>
        <sz val="11"/>
        <rFont val="Calibri"/>
        <family val="2"/>
        <scheme val="minor"/>
      </rPr>
      <t xml:space="preserve">
remove_variable_constraint(ed, :SOEFinal)
VRESESERVE = 1e6
</t>
    </r>
    <r>
      <rPr>
        <strike/>
        <sz val="11"/>
        <rFont val="Calibri"/>
        <family val="2"/>
        <scheme val="minor"/>
      </rPr>
      <t>objective funtion = VLOL*sum(LOL[t] for t in T) + VLGEN*sum(LGEN[t] for t in T)</t>
    </r>
    <r>
      <rPr>
        <sz val="11"/>
        <rFont val="Calibri"/>
        <family val="2"/>
        <scheme val="minor"/>
      </rPr>
      <t xml:space="preserve">
base_case_v2: Half number of batteries in </t>
    </r>
  </si>
  <si>
    <r>
      <t xml:space="preserve">mip_gap =  1e-8
G_CONSTRAIN_DISPATCH  = true
normalize_reserve_variables = [GEN, DIS, CH]
remove_variable_constraint(ed, :SOEFinal)
VRESESERVE = 1e-6
</t>
    </r>
    <r>
      <rPr>
        <strike/>
        <sz val="11"/>
        <rFont val="Calibri"/>
        <family val="2"/>
        <scheme val="minor"/>
      </rPr>
      <t>START cost = 0</t>
    </r>
  </si>
  <si>
    <t>from 3.4.6
VSRESDN = 1e4
mip_gap = 1e-8
VRESERVE = 1e-6
VRESUP = VRESDN = 250</t>
  </si>
  <si>
    <t>VLGEN = 30
VSRESUP = 30
VSRESDN = 1e4
mip_gap = 1e-4
VRESERVE = 1e-6
VRESUP = VRESDN = 250
thermal_reserve = true
constrain_dispatch = false</t>
  </si>
  <si>
    <t>VLGEN = 30
mip_gap = 1e-4
VRESERVE = 1e-6
VRESUP = VRESDN = 250
thermal_reserve = true
constrain_dispatch = false
disregard this one, probably pull did not properly work</t>
  </si>
  <si>
    <t>VLGEN = 30
mip_gap = 1e-4
VRESERVE = 1e-6
VRESUP = VRESDN = 250
thermal_reserve = false
constrain_dispatch = true</t>
  </si>
  <si>
    <t>VLGEN = 30
VSRESUP = 30
VSRESDN = 1e4
mip_gap = 1e-4
VRESERVE = 1e-6
VRESUP = VRESDN = 250
thermal_reserve = true
constrain_dispatch = true</t>
  </si>
  <si>
    <t>from 3.4.6
VLGEN = 30
mip_gap = 1e-4
VRESERVE = 1e-6
VRESUP = VRESDN = 250</t>
  </si>
  <si>
    <t>VLGEN = 30
mip_gap = 1e-8
VRESERVE = 1e-6
VRESUP = VRESDN = 250</t>
  </si>
  <si>
    <t>VLGEN = 30
mip_gap = 1e-8
VRESERVE = 1e-6
VRESUP = VRESDN = 250
VRESERVE -&gt; /(t-j+1)</t>
  </si>
  <si>
    <t>VLGEN = 30
mip_gap = 1e-8
VRESERVE = 1e-6
VRESUP = VRESDN = 250
thermal_reserve = true
constrain_dispatch = false
disregard this one, probably pull did not properly work</t>
  </si>
  <si>
    <t>VLGEN = 30
mip_gap = 1e-4
VRESERVE = 1e-6
VRESUP = VRESDN = 250
energy_reserve = true</t>
  </si>
  <si>
    <t>VLGEN = 30
mip_gap = 1e-8
VRESERVE = 1e-6
VRESUP = VRESDN = 250
energy_reserve = true</t>
  </si>
  <si>
    <t>Replaced ed\random_demand by real-time net_load  = load-wind-pv-rtpv from
RTS-GMLC\RTS_Data\timeseries_data_files\REAL_TIME_regional_Load.csv, 
RTS-GMLC\RTS_Data\timeseries_data_files\REAL_TIME_pv.csv,
RTS-GMLC\RTS_Data\timeseries_data_files\REAL_TIME_rtpv.csv,
RTS-GMLC\RTS_Data\timeseries_data_files\REAL_TIME_wind.csv
Removed last day as not present in Demand.csv nor scenarios\scenarios_demand.csv</t>
  </si>
  <si>
    <t>0ec68ed</t>
  </si>
  <si>
    <t xml:space="preserve"> generate_ed_solutions(day_µ_configurations_file = "configuration_e_reserves", input_folder = "./input/RTS-GMLC_v2.2", output_folder = "./output/RTS-GMLC_v10.0s", constrain_dispatch = false, thermal_reserve = true, energy_reserve = true)
missing = [157, 171,</t>
  </si>
  <si>
    <t xml:space="preserve"> generate_ed_solutions(day_µ_configurations_file = "configuration_envelopes", input_folder = "./input/RTS-GMLC_v2.2", output_folder = "./output/RTS-GMLC_v9.0s", constrain_dispatch = false, thermal_reserve = true, energy_reserve = false)
missing = [32,38,68,70,</t>
  </si>
  <si>
    <t>envelope_compare_v1.31s</t>
  </si>
  <si>
    <t>generate_ed_solutions(days = [2,3], μs= [0.5, 1], input_folder = "./input/RTS-GMLC_v1.2", output_folder = "./output/RTS-GMLC_envelope_compare_v1.31s", constrain_dispatch = false, thermal_reserve = true, energy_reserve = false, max_iterations = 1)</t>
  </si>
  <si>
    <t>6f6a701</t>
  </si>
  <si>
    <t>e_reserve_compare_v1.31s</t>
  </si>
  <si>
    <t>same as e_reserve_compare_v1s</t>
  </si>
  <si>
    <t>same as e_reserve_compare_v1s
constraint_dispatch = true</t>
  </si>
  <si>
    <t>same as e_reserve_compare_v1s
constraint_dispatch = false</t>
  </si>
  <si>
    <t>a3ae70a</t>
  </si>
  <si>
    <t>envelope_benchmark_v2.0s</t>
  </si>
  <si>
    <t>6460d63</t>
  </si>
  <si>
    <t>same as envelope_benchmark_s</t>
  </si>
  <si>
    <t>same as envelope_benchmark_s
energy_reserve = true</t>
  </si>
  <si>
    <t>e-reserve_benchmark_v2.0s</t>
  </si>
  <si>
    <t>generate_ed_solutions(days = [2,2,3,3], μs= [0.5, 1, 0.5, 1], input_folder = "./input/RTS-GMLC_v2.2", output_folder = "./output/RTS-GMLC_envelope_benchmark_v2.0s", constrain_dispatch = false, thermal_reserve = true, energy_reserve = false, max_iterations = 2)</t>
  </si>
  <si>
    <t>generate_ed_solutions(days = [2,2,3,3], μs= [0.5, 1, 0.5, 1], input_folder = "./input/RTS-GMLC_v2.2", output_folder = "./output/RTS-GMLC_e_reserve_benchmark_v2.0s", constrain_dispatch = false, thermal_reserve = true, energy_reserve = true, max_iterations = 2)</t>
  </si>
  <si>
    <t>05b8a39</t>
  </si>
  <si>
    <t>envelope_compare_v2.1s</t>
  </si>
  <si>
    <t>e_reserve_compare_v2.1s</t>
  </si>
  <si>
    <t xml:space="preserve"> generate_ed_solutions(days = [2,2,3,3], μs= [0.5, 1, 0.5, 1], input_folder = "./input/RTS-GMLC_v2.2", output_folder = "./output/RTS-GMLC_envelope_compare_v2.1s", constrain_dispatch = false, thermal_reserve = true, energy_reserve = false, max_iterations = 2)</t>
  </si>
  <si>
    <t xml:space="preserve"> generate_ed_solutions(days = [2,2,3,3], μs= [0.5, 1, 0.5, 1], input_folder = "./input/RTS-GMLC_v2.2", output_folder = "./output/RTS-GMLC_e_reserve_compare_v2.1s", constrain_dispatch = false, thermal_reserve = true, energy_reserve = true, max_iterations = 2)</t>
  </si>
  <si>
    <t>envelope_benchmark_v2.1s</t>
  </si>
  <si>
    <t>same as envelope_benchmark_s
constrain_dispatch = true</t>
  </si>
  <si>
    <t>e-reserve_benchmark_v2.1s</t>
  </si>
  <si>
    <t>same as envelope_benchmark_s
energy_reserve = true
constrain_dispatch = true</t>
  </si>
  <si>
    <t>generate_ed_solutions(days = [2,2,3,3], μs= [0.5, 1, 0.5, 1], input_folder = "./input/RTS-GMLC_v2.2", output_folder = "./output/RTS-GMLC_envelope_benchmark_v2.1s", constrain_dispatch = true, thermal_reserve = true, energy_reserve = false, max_iterations = 2)</t>
  </si>
  <si>
    <t>generate_ed_solutions(days = [2,2,3,3], μs= [0.5, 1, 0.5, 1], input_folder = "./input/RTS-GMLC_v2.2", output_folder = "./output/RTS-GMLC_e_reserve_benchmark_v2.1s", constrain_dispatch = true, thermal_reserve = true, energy_reserve = true, max_iterations = 2)</t>
  </si>
  <si>
    <t>envelope_compare_v3.0s</t>
  </si>
  <si>
    <t>envelope_compare_v3.1s</t>
  </si>
  <si>
    <t>e_reserve_compare_v3.0s</t>
  </si>
  <si>
    <t>e_reserve_compare_v3.1s</t>
  </si>
  <si>
    <t>same as e_reserve_compare_v1s
constrain_dispatch = true</t>
  </si>
  <si>
    <t>e_reserve_compare_v3.2s</t>
  </si>
  <si>
    <t>same as e_reserve_compare_v1s
constrain_dispatch = true
constrain_dispatch_by_energy = false</t>
  </si>
  <si>
    <t xml:space="preserve"> generate_ed_solutions(days = [2,2,3,3], μs= [0.5, 1, 0.5, 1], input_folder = "./input/RTS-GMLC_v2.2", output_folder = "./output/RTS-GMLC_envelope_compare_v3.0s", constrain_redispatch = false, thermal_reserve = true, energy_reserve = false, max_iterations = 2)</t>
  </si>
  <si>
    <t xml:space="preserve"> generate_ed_solutions(days = [2,2,3,3], μs= [0.5, 1, 0.5, 1], input_folder = "./input/RTS-GMLC_v2.2", output_folder = "./output/RTS-GMLC_envelope_compare_v3.1s", constrain_redispatch = true, thermal_reserve = true, energy_reserve = false, max_iterations = 2)</t>
  </si>
  <si>
    <t xml:space="preserve"> generate_ed_solutions(days = [2,2,3,3], μs= [0.5, 1, 0.5, 1], input_folder = "./input/RTS-GMLC_v2.2", output_folder = "./output/RTS-GMLC_e_reserve_compare_v3.0s", constrain_redispatch = false, thermal_reserve = true, energy_reserve = true, max_iterations = 2, constrain_redispatch_by_energy =  true)</t>
  </si>
  <si>
    <t xml:space="preserve"> generate_ed_solutions(days = [2,2,3,3], μs= [0.5, 1, 0.5, 1], input_folder = "./input/RTS-GMLC_v2.2", output_folder = "./output/RTS-GMLC_e_reserve_compare_v3.1s", constrain_redispatch = true, thermal_reserve = true, energy_reserve = true, max_iterations = 2, constrain_redispatch_by_energy =  true)</t>
  </si>
  <si>
    <t>97efb53</t>
  </si>
  <si>
    <t>envelope_benchmark_v3.0s</t>
  </si>
  <si>
    <t>envelope_benchmark_v3.1s</t>
  </si>
  <si>
    <t>e_reserve_benchmark_v3.0s</t>
  </si>
  <si>
    <t>e_reserve_benchmark_v3.1s</t>
  </si>
  <si>
    <t>e_reserve_benchmak_v3.2s</t>
  </si>
  <si>
    <t xml:space="preserve"> generate_ed_solutions(days = [2,2,3,3], μs= [0.5, 1, 0.5, 1], input_folder = "./input/RTS-GMLC_v2.2", output_folder = "./output/RTS-GMLC_envelope_benchmark_v3.0s", constrain_redispatch = false, thermal_reserve = true, energy_reserve = false)</t>
  </si>
  <si>
    <t xml:space="preserve"> generate_ed_solutions(days = [2,2,3,3], μs= [0.5, 1, 0.5, 1], input_folder = "./input/RTS-GMLC_v2.2", output_folder = "./output/RTS-GMLC_envelope_benchmark_v3.1s", constrain_redispatch = true, thermal_reserve = true, energy_reserve = false)</t>
  </si>
  <si>
    <t xml:space="preserve"> generate_ed_solutions(days = [2,2,3,3], μs= [0.5, 1, 0.5, 1], input_folder = "./input/RTS-GMLC_v2.2", output_folder = "./output/RTS-GMLC_e_reserve_benchmark_v3.0s", constrain_redispatch = false, thermal_reserve = true, energy_reserve = true, constrain_redispatch_by_energy =  true)</t>
  </si>
  <si>
    <t xml:space="preserve"> generate_ed_solutions(days = [2,2,3,3], μs= [0.5, 1, 0.5, 1], input_folder = "./input/RTS-GMLC_v2.2", output_folder = "./output/RTS-GMLC_e_reserve_benchmark_v3.1s", constrain_redispatch = true, thermal_reserve = true, energy_reserve = true, constrain_redispatch_by_energy =  true)</t>
  </si>
  <si>
    <t xml:space="preserve"> generate_ed_solutions(days = [2,2,3,3], μs= [0.5, 1, 0.5, 1], input_folder = "./input/RTS-GMLC_v2.2", output_folder = "./output/RTS-GMLC_e_reserve_benchmark_v3.2s", constrain_redispatch = true, thermal_reserve = true, energy_reserve = true, constrain_redispatch_by_energy =  false)</t>
  </si>
  <si>
    <t>RTS-GMLC_v2.3</t>
  </si>
  <si>
    <t>Updated storage data with original data</t>
  </si>
  <si>
    <t>6bc3e5</t>
  </si>
  <si>
    <t xml:space="preserve"> generate_ed_solutions(days = range(1,10), day_µ_configurations_file = "configuration_envelopes", input_folder = "./input/RTS-GMLC_v2.3", output_folder = "./output/RTS-GMLC_v11.0su", constrain_redispatch = true, thermal_reserve = true, energy_reserve = false)</t>
  </si>
  <si>
    <t>VLGEN = 30
mip_gap = 1e-8
VRESERVE = 1e-6
VRESUP = VRESDN = 250
energy_reserve = false
constrain_redispatch = true,
constraint_redispath_by_energy = false</t>
  </si>
  <si>
    <t>11.0s</t>
  </si>
  <si>
    <t>13.0s</t>
  </si>
  <si>
    <t>12.0s</t>
  </si>
  <si>
    <t>VLGEN = 30
mip_gap = 1e-8
VRESERVE = 1e-6
VRESUP = VRESDN = 250
energy_reserve = false
constrain_redispatch = true,
constraint_redispatch_by_energy = false</t>
  </si>
  <si>
    <t>VLGEN = 30
mip_gap = 1e-8
VRESERVE = 1e-6
VRESUP = VRESDN = 250
energy_reserve = true
constrain_redispatch = true,
constraint_redispatch_by_energy = false</t>
  </si>
  <si>
    <t xml:space="preserve"> generate_ed_solutions(day_µ_configurations_file = "configuration_e_reserves", input_folder = "./input/RTS-GMLC_v2.2", output_folder = "./output/RTS-GMLC_v12.0s", constrain_redispatch = true, thermal_reserve = true, energy_reserve = true)</t>
  </si>
  <si>
    <t>11.1s</t>
  </si>
  <si>
    <t>VLGEN = 30
mip_gap = 1e-8
VRESERVE = 1e-6
VRESUP = VRESDN = 250
energy_reserve = true
constrain_redispatch = true,
constraint_redispath_by_energy = false</t>
  </si>
  <si>
    <t xml:space="preserve"> generate_ed_solutions(day_µ_configurations_file = "configuration_envelopes", input_folder = "./input/RTS-GMLC_v2.2", output_folder = "./output/RTS-GMLC_v13.0s", constrain_redispatch = true, thermal_reserve = true, energy_reserve = false)
generate_ed_solutions(days = [157], µs = [1], input_folder = "./input/RTS-GMLC_v2.2", output_folder = "./output/RTS-GMLC_v13.0su", constrain_redispatch = true, thermal_reserve = true, energy_reserve = false)</t>
  </si>
  <si>
    <t>12.1s</t>
  </si>
  <si>
    <t>57f0905</t>
  </si>
  <si>
    <t>same as 12.0s</t>
  </si>
  <si>
    <t>13.1s</t>
  </si>
  <si>
    <t>sames as 13.1s</t>
  </si>
  <si>
    <t>bf914f5</t>
  </si>
  <si>
    <t>same as 11.0s
VRESUP = VRESDN = 1e3</t>
  </si>
  <si>
    <t>11.0.1s</t>
  </si>
  <si>
    <t>11.1.1s</t>
  </si>
  <si>
    <t>same as 11.0s
VRESUP = VRESDN = 1e3
energy_reserve = true</t>
  </si>
  <si>
    <t xml:space="preserve"> generate_ed_solutions(days = range(1,10), day_µ_configurations_file = "configuration_envelopes", input_folder = "./input/RTS-GMLC_v2.3", output_folder = "./output/RTS-GMLC_v11.0.1s", constrain_redispatch = true, thermal_reserve = true, energy_reserve = false, VSRESUP = 1e3, VSRESDN = 1e3)</t>
  </si>
  <si>
    <t xml:space="preserve"> generate_ed_solutions(days = range(1,10), day_µ_configurations_file = "configuration_e_reserves", input_folder = "./input/RTS-GMLC_v2.3", output_folder = "./output/RTS-GMLC_v11.1.1s", constrain_redispatch = true, thermal_reserve = true, energy_reserve = true, VSRESUP = 1e3, VSRESDN = 1e3)</t>
  </si>
  <si>
    <t>envelope_compare_v4.1s</t>
  </si>
  <si>
    <t xml:space="preserve"> generate_ed_solutions(days = [2,2,3,3], μs= [0.5, 1, 0.5, 1], input_folder = "./input/RTS-GMLC_v2.2", output_folder = "./output/RTS-GMLC_envelope_compare_v4.1s", constrain_redispatch = true, thermal_reserve = true, energy_reserve = false, max_iterations = 2)</t>
  </si>
  <si>
    <t>bf914f54f50</t>
  </si>
  <si>
    <t>envelope_compare_v5.1s</t>
  </si>
  <si>
    <t>d95321e</t>
  </si>
  <si>
    <t>e_reserve_compare_v5.2s</t>
  </si>
  <si>
    <t xml:space="preserve"> generate_ed_solutions(days = [2,2,3,3], μs= [0.5, 1, 0.5, 1], input_folder = "./input/RTS-GMLC_v2.2", output_folder = "./output/RTS-GMLC_envelope_compare_v5.1s", constrain_redispatch = true, thermal_reserve = true, energy_reserve = false, max_iterations = 2)
Comparing with envelope_benchmak_v3.2s: There is no tendency, both DA and ED costs change, sometimes they improve sometimes they become more expensive than the previous version.</t>
  </si>
  <si>
    <t xml:space="preserve"> generate_ed_solutions(days = [2,2,3,3], μs= [0.5, 1, 0.5, 1], input_folder = "./input/RTS-GMLC_v2.2", output_folder = "./output/RTS-GMLC_e_reserve_compare_v5.2s", constrain_redispatch = true, thermal_reserve = true, energy_reserve = true, constrain_redispatch_by_energy =  false)
Comparing with e_reserve_benchmak_v3.2s: There is no tendency, both DA and ED costs change, sometimes they improve sometimes they become more expensive thanthe  previous version.</t>
  </si>
  <si>
    <t>RTS-GMLC_v2.2.1</t>
  </si>
  <si>
    <t>from v2.2
Replaced random_demand.csv by demand.csv, i.e., RT demand is the same as DA demand</t>
  </si>
  <si>
    <t>15.0s</t>
  </si>
  <si>
    <t>16.0s</t>
  </si>
  <si>
    <t xml:space="preserve"> generate_ed_solutions(days = [2,2,3,3], μs= [0.5, 1, 0.5, 1], input_folder = "./input/RTS-GMLC_v2.2.1", output_folder = "./output/RTS-GMLC_v16.0s", constrain_redispatch = true, thermal_reserve = true, energy_reserve = false)</t>
  </si>
  <si>
    <t>16.1s</t>
  </si>
  <si>
    <t>Including slack on SOE Final
VSSOEFinal = 10</t>
  </si>
  <si>
    <t>Including slack on SOE Final
VSSOEFinal = 1e3</t>
  </si>
  <si>
    <t>16.2s</t>
  </si>
  <si>
    <t>16.0.1s</t>
  </si>
  <si>
    <t xml:space="preserve"> generate_ed_solutions(days = [2,2,3,3], μs= [0.5, 1, 0.5, 1], input_folder = "./input/RTS-GMLC_v2.2.1", output_folder = "./output/RTS-GMLC_v16.0s", constrain_redispatch = true, thermal_reserve = true, energy_reserve = false, VSSOEFinal = 1e3)</t>
  </si>
  <si>
    <t>Including slack on SOE Final
VSSOEFinal = 1</t>
  </si>
  <si>
    <t xml:space="preserve"> generate_ed_solutions(days = [2,2,3,3], μs= [0.5, 1, 0.5, 1], input_folder = "./input/RTS-GMLC_v2.2.1", output_folder = "./output/RTS-GMLC_v16.0.1s", constrain_redispatch = true, thermal_reserve = true, energy_reserve = false, VSSOEFinal = 1)</t>
  </si>
  <si>
    <t>16.0.2s</t>
  </si>
  <si>
    <t xml:space="preserve"> generate_ed_solutions(days = [2,2,3,3], μs= [0.5, 1, 0.5, 1], input_folder = "./input/RTS-GMLC_v2.2.1", output_folder = "./output/RTS-GMLC_v16.0.2s", constrain_redispatch = true, thermal_reserve = true, energy_reserve = false, VSSOEFinal = 10)</t>
  </si>
  <si>
    <t>16.0.3s</t>
  </si>
  <si>
    <t>16.3s</t>
  </si>
  <si>
    <t xml:space="preserve"> generate_ed_solutions(days = [2,2,3,3], μs= [0.5, 1, 0.5, 1], input_folder = "./input/RTS-GMLC_v2.2", output_folder = "./output/RTS-GMLC_v16.1su", constrain_redispatch = true, thermal_reserve = true, energy_reserve = false, VSSOEFinal = 1)</t>
  </si>
  <si>
    <t xml:space="preserve"> generate_ed_solutions(days = [2,2,3,3], μs= [0.5, 1, 0.5, 1], input_folder = "./input/RTS-GMLC_v2.2", output_folder = "./output/RTS-GMLC_v16.2su", constrain_redispatch = true, thermal_reserve = true, energy_reserve = false, VSSOEFinal = 10)</t>
  </si>
  <si>
    <t>7b46ed0</t>
  </si>
  <si>
    <t xml:space="preserve"> generate_ed_solutions(days = [2,2,3,3], μs= [0.5, 1, 0.5, 1], input_folder = "./input/RTS-GMLC_v2.2", output_folder = "./output/RTS-GMLC_v16.3su", constrain_redispatch = true, thermal_reserve = true, energy_reserve = false, VSSOEFinal = 1e3)
 generate_ed_solutions(days = range(1,100), day_µ_configurations_file = "configuration_envelopes, input_folder = "./input/RTS-GMLC_v2.2", output_folder = "./output/RTS-GMLC_v16.3s", constrain_redispatch = true, thermal_reserve = true, energy_reserve = false, VSSOEFinal = 1e3)</t>
  </si>
  <si>
    <t>17.0.3s</t>
  </si>
  <si>
    <t>17.3s</t>
  </si>
  <si>
    <t>Including slack on SOE Final
VSSOEFinal = 1e3
energy_reserve = true</t>
  </si>
  <si>
    <t xml:space="preserve"> generate_ed_solutions(days = range(1,100), day_µ_configurations_file = "configuration_envelopes", input_folder = "./input/RTS-GMLC_v2.2.1", output_folder = "./output/RTS-GMLC_v16.0.3s", constrain_redispatch = true, thermal_reserve = true, energy_reserve = false, VSSOEFinal = 1e3)</t>
  </si>
  <si>
    <t xml:space="preserve"> generate_ed_solutions(days = range(1,100), day_µ_configurations_file = "configuration_e_reserves", input_folder = "./input/RTS-GMLC_v2.2.1", output_folder = "./output/RTS-GMLC_v17.0.3s", constrain_redispatch = true, thermal_reserve = true, energy_reserve = true, VSSOEFinal = 1e3)</t>
  </si>
  <si>
    <t xml:space="preserve"> generate_ed_solutions(days = range(1,100), day_µ_configurations_file = "configuration_e_reserves", input_folder = "./input/RTS-GMLC_v2.2", output_folder = "./output/RTS-GMLC_v17.3s", constrain_redispatch = true, thermal_reserve = true, energy_reserve = true, VSSOEFinal = 1e3)</t>
  </si>
  <si>
    <t>e_reserve_benchmak_v4.0s</t>
  </si>
  <si>
    <t>envelope_benchmark_v4.0s</t>
  </si>
  <si>
    <t>envelope_compare_v6.0s</t>
  </si>
  <si>
    <t xml:space="preserve"> generate_ed_solutions(days = [2,2,3,3], μs= [0.5, 1, 0.5, 1], input_folder = "./input/RTS-GMLC_v2.2", output_folder = "./output/RTS-GMLC_envelope_benchmark_v4.0s", constrain_redispatch = true, thermal_reserve = true, energy_reserve = false, max_iterations = 2)
Comparing with envelope_benchmak_v3.2s: There is no tendency, both DA and ED costs change, sometimes they improve sometimes they become more expensive than the previous version.</t>
  </si>
  <si>
    <t>4e567fa</t>
  </si>
  <si>
    <t>envelope_benchmark_v5.0s</t>
  </si>
  <si>
    <t xml:space="preserve"> generate_ed_solutions(days = [2,2,3,3], μs= [0.5, 1, 0.5, 1], input_folder = "./input/RTS-GMLC_v2.2", output_folder = "./output/RTS-GMLC_envelope_benchmark_v5.0s", constrain_redispatch = true, thermal_reserve = true, energy_reserve = false, max_iterations = 2)</t>
  </si>
  <si>
    <t>e_reserve_benchmark_v5.0s</t>
  </si>
  <si>
    <t xml:space="preserve"> generate_ed_solutions(days = [2,2,3,3], μs= [0.5, 1, 0.5, 1], input_folder = "./input/RTS-GMLC_v2.2", output_folder = "./output/RTS-GMLC_e_reserve_benchmark_v5.0s", constrain_redispatch = true, thermal_reserve = true, energy_reserve = true, constrain_redispatch_by_energy =  false)
</t>
  </si>
  <si>
    <t xml:space="preserve"> generate_ed_solutions(days = [2,2,3,3], μs= [0.5, 1, 0.5, 1], input_folder = "./input/RTS-GMLC_v2.2", output_folder = "./output/RTS-GMLC_envelope_compare_v6.0s", constrain_redispatch = true, thermal_reserve = true, energy_reserve = false, max_iterations = 2)
compare with envelope_benchmark_v5.0s --&gt; The difference lies in at the UC. When comparing we observe almost the same UC objective value (within gap) BUT, envelopes and the end of horizon are different</t>
  </si>
  <si>
    <t>envelope_benchmark_v6.0s</t>
  </si>
  <si>
    <t xml:space="preserve"> generate_ed_solutions(days = [2,2,3,3], μs= [0.5, 1, 0.5, 1], input_folder = "./input/RTS-GMLC_v2.2", output_folder = "./output/RTS-GMLC_envelope_benchmark_v6.0s", constrain_redispatch = true, thermal_reserve = true, energy_reserve = false, max_iterations = 2)
Compare to 5.0s, same value in UC but different in ED because of alternate optima. Envelopes are different at the UC stage.</t>
  </si>
  <si>
    <t>e_reserve_benchmark_v6.0s</t>
  </si>
  <si>
    <t xml:space="preserve"> generate_ed_solutions(days = [2,2,3,3], μs= [0.5, 1, 0.5, 1], input_folder = "./input/RTS-GMLC_v2.2", output_folder = "./output/RTS-GMLC_e_reserve_benchmark_v6.0s", constrain_redispatch = true, thermal_reserve = true, energy_reserve = true, constrain_redispatch_by_energy =  false)
</t>
  </si>
  <si>
    <t>18.0.3s</t>
  </si>
  <si>
    <t>18.3s</t>
  </si>
  <si>
    <t xml:space="preserve"> generate_ed_solutions(days = range(1,100), day_µ_configurations_file = "configuration_envelopes", input_folder = "./input/RTS-GMLC_v2.2", output_folder = "./output/RTS-GMLC_v18.3s", constrain_redispatch = true, thermal_reserve = true, energy_reserve = false, VSSOEFinal = 1e3)</t>
  </si>
  <si>
    <t xml:space="preserve"> generate_ed_solutions(days = range(1,100), day_µ_configurations_file = "configuration_envelopes", input_folder = "./input/RTS-GMLC_v2.2.1", output_folder = "./output/RTS-GMLC_v18.0.3s", constrain_redispatch = true, thermal_reserve = true, energy_reserve = false, VSSOEFinal = 1e3)</t>
  </si>
  <si>
    <t>envelope_compare_v7.0s</t>
  </si>
  <si>
    <t>e227a29</t>
  </si>
  <si>
    <t>19.3s</t>
  </si>
  <si>
    <t>19.0.3s</t>
  </si>
  <si>
    <t xml:space="preserve"> generate_ed_solutions(days = range(1,100), day_µ_configurations_file = "configuration_e_reserves", input_folder = "./input/RTS-GMLC_v2.2.1", output_folder = "./output/RTS-GMLC_v19.0.3s", constrain_redispatch = true, thermal_reserve = true, energy_reserve = true, VSSOEFinal = 1e3)</t>
  </si>
  <si>
    <t>19.4s</t>
  </si>
  <si>
    <t>Including slack on SOE Final
VSSOEFinal = 1e3
energy_reserve = true
constrain_redispatch_by_energy  = true</t>
  </si>
  <si>
    <t xml:space="preserve"> generate_ed_solutions(day_µ_configurations_file = "configuration_e_reserves", input_folder = "./input/RTS-GMLC_v2.2", output_folder = "./output/RTS-GMLC_v19.3s", constrain_redispatch = true, thermal_reserve = true, energy_reserve = true, VSSOEFinal = 1e3, constrain_redispatch_by_energy = true)</t>
  </si>
  <si>
    <t>Including slack on SOE Final
VSSOEFinal = 1e3
energy_reserve = true
constrain_redispatch_by_energy  = false</t>
  </si>
  <si>
    <t>18.3.1s</t>
  </si>
  <si>
    <t>Including slack on SOE Final
VSSOEFinal = 1e3
thermal_reserve = false</t>
  </si>
  <si>
    <t xml:space="preserve"> generate_ed_solutions(days = range(1,100), day_µ_configurations_file = "configuration_envelopes", input_folder = "./input/RTS-GMLC_v2.2", output_folder = "./output/RTS-GMLC_v18.3.1s", constrain_redispatch = true, thermal_reserve = false, energy_reserve = false, VSSOEFinal = 1e3)</t>
  </si>
  <si>
    <t>19.4.1s</t>
  </si>
  <si>
    <t>Including slack on SOE Final
VSSOEFinal = 1e3
energy_reserve = true
constrain_redispatch_by_energy  = false
thermal_Reserve = false</t>
  </si>
  <si>
    <t xml:space="preserve"> generate_ed_solutions(day_µ_configurations_file = "configuration_e_reserves", input_folder = "./input/RTS-GMLC_v2.2", output_folder = "./output/RTS-GMLC_v19.4.1s", constrain_redispatch = true, thermal_reserve = false, energy_reserve = true, VSSOEFinal = 1e3, constrain_redispatch_by_energy = false)</t>
  </si>
  <si>
    <t xml:space="preserve"> generate_ed_solutions(day_µ_configurations_file = "configuration_e_reserves", input_folder = "./input/RTS-GMLC_v2.2", output_folder = "./output/RTS-GMLC_v19.4s", constrain_redispatch = true, thermal_reserve = true, energy_reserve = true, VSSOEFinal = 1e3, constrain_redispatch_by_energy = false)</t>
  </si>
  <si>
    <t>RTS-GMLC_v3.0</t>
  </si>
  <si>
    <t>ed/random_demand.csv as RT demand --&gt; last day removed</t>
  </si>
  <si>
    <t>System scaled to 2035
Reserve and energy reserve requirements generated based on in-sample scenarios
Multipliers generated based on reserves and energy reserve requirements</t>
  </si>
  <si>
    <t>20.0s</t>
  </si>
  <si>
    <t>RTS-GMLC_v3.0.1</t>
  </si>
  <si>
    <t>RTS-GMLC_v3.1</t>
  </si>
  <si>
    <t>20.0.1s</t>
  </si>
  <si>
    <t>envelope</t>
  </si>
  <si>
    <t>21.0s</t>
  </si>
  <si>
    <t>21.1.1s</t>
  </si>
  <si>
    <t>RTS-GMLC_v3.1.1</t>
  </si>
  <si>
    <t>21.1.2s</t>
  </si>
  <si>
    <t>21.0.2s</t>
  </si>
  <si>
    <t>from 3.1
10 of ramp percentage,up/down time  = 1 for H2</t>
  </si>
  <si>
    <t>RTS-GMLC_v3.1.2</t>
  </si>
  <si>
    <t>from 3.1
number of storage units divided by 2, capacity and energy multiplied by 2</t>
  </si>
  <si>
    <t>21.2s</t>
  </si>
  <si>
    <t>debugging
solving_time= 10s
mip_gap = 1e-4</t>
  </si>
  <si>
    <t>debugging
solving_time= 10s
mip_gap = 1e-4
thermal_reserve = false</t>
  </si>
  <si>
    <t>RTS-GMLC_v3.1.3</t>
  </si>
  <si>
    <t>RTS-GMLC_v3.1.4</t>
  </si>
  <si>
    <t>RTS-GMLC_v3.1.5</t>
  </si>
  <si>
    <t>RTS-GMLC_v3.1.6</t>
  </si>
  <si>
    <t xml:space="preserve"> generate_ed_solutions(days = [2,2,3,3], μs= [0.5, 1, 0.5, 1], input_folder = "./input/RTS-GMLC_v2.2", output_folder = "./output/RTS-GMLC_envelope_compare_v7.0s", constrain_redispatch = true, thermal_reserve = true, energy_reserve = false, max_iterations = 2)
same values as 6.0s</t>
  </si>
  <si>
    <t>envelope_compare_v8.0s</t>
  </si>
  <si>
    <t>926c220</t>
  </si>
  <si>
    <t xml:space="preserve"> generate_ed_solutions(days = [2,2,3,3], μs= [0.5, 1, 0.5, 1], input_folder = "./input/RTS-GMLC_v2.2", output_folder = "./output/RTS-GMLC_envelope_compare_v8.0s", constrain_redispatch = true, thermal_reserve = true, energy_reserve = false, max_iterations = 2)
same as envelope_benchmark_v6.0s</t>
  </si>
  <si>
    <t>e_reserve_compare_v8.0s</t>
  </si>
  <si>
    <t>e_reserve_benchmark_v7.0s</t>
  </si>
  <si>
    <t>envelope_benchmark_v8.0s</t>
  </si>
  <si>
    <t>926c220d8a</t>
  </si>
  <si>
    <t>same as 6.0</t>
  </si>
  <si>
    <t>e_reserve_benchmark_v8.0s</t>
  </si>
  <si>
    <t>?????</t>
  </si>
  <si>
    <t>same as 7.0</t>
  </si>
  <si>
    <t xml:space="preserve"> generate_ed_solutions(days = [2,2,3,3], μs= [0.5, 1, 0.5, 1], input_folder = "./input/RTS-GMLC_v2.2", output_folder = "./output/RTS-GMLC_e_reserve_benchmark_v4.0s", constrain_redispatch = true, thermal_reserve = true, energy_reserve = true, constrain_redispatch_by_energy =  false)
Comparing with e_reserve_benchmak_v3.2s: There is no tendency, both DA and ED costs change, sometimes they improve sometimes they become more expensive thanthe  previous version.
</t>
  </si>
  <si>
    <t>envelope_benchmark_v9.0s</t>
  </si>
  <si>
    <t>e_reserve_benchmark_v9.0s</t>
  </si>
  <si>
    <t xml:space="preserve"> generate_ed_solutions(days = [2,2,3,3], μs= [0.5, 1, 0.5, 1], input_folder = "./input/RTS-GMLC_v2.2", output_folder = "./output/RTS-GMLC_e_reserve_benchmark_v9.0s", constrain_redispatch = true, thermal_reserve = true, energy_reserve = true, constrain_redispatch_by_energy =  false)
no differences with v8.0</t>
  </si>
  <si>
    <t xml:space="preserve"> generate_ed_solutions(days = [2,2,3,3], μs= [0.5, 1, 0.5, 1], input_folder = "./input/RTS-GMLC_v2.2", output_folder = "./output/RTS-GMLC_envelope_benchmark_v9.0s", constrain_redispatch = true, thermal_reserve = true, energy_reserve = false, max_iterations = 2)
marginal differences with v8.0</t>
  </si>
  <si>
    <t>RTS-GMLC_v3.1.7</t>
  </si>
  <si>
    <t>RTS-GMLC_v3.1.8</t>
  </si>
  <si>
    <t>21.0.1su</t>
  </si>
  <si>
    <t>time_limit = 60</t>
  </si>
  <si>
    <t>gap 1.8%-0.1%</t>
  </si>
  <si>
    <t>RTS-GMLC_v3.1.9</t>
  </si>
  <si>
    <t>21.0.9</t>
  </si>
  <si>
    <t>21.0.8.1</t>
  </si>
  <si>
    <t>RTS-GMLC_v3.1.8.1</t>
  </si>
  <si>
    <t>a53c4127cd</t>
  </si>
  <si>
    <t>21.1s</t>
  </si>
  <si>
    <t>envelope
mip_gap = 1e-3</t>
  </si>
  <si>
    <t>a53c41</t>
  </si>
  <si>
    <t>generate_ed_solutions(day_µ_configurations_file = "configuration_envelopes", input_folder = "./input/RTS-GMLC_v3.1", output_folder = "./output/RTS-GMLC_v21.1s", constrain_redispatch = true, thermal_reserve = true, energy_reserve = false, mip_gap = 1e-3)</t>
  </si>
  <si>
    <t>21.1.8.1</t>
  </si>
  <si>
    <t>generate_ed_solutions(day_µ_configurations_file = "configuration_envelopes", input_folder = "./input/RTS-GMLC_v3.1.8.1", output_folder = "./output/RTS-GMLC_v21.1.8.1s", constrain_redispatch = true, thermal_reserve = true, energy_reserve = false, mip_gap = 1e-3)</t>
  </si>
  <si>
    <t>envelope
mip_gap = 1e-4</t>
  </si>
  <si>
    <t>generate_ed_solutions(day_µ_configurations_file = "configuration_envelopes", input_folder = "./input/RTS-GMLC_v3.1.8.1", output_folder = "./output/RTS-GMLC_v21.1.8.1s", constrain_redispatch = true, thermal_reserve = true, energy_reserve = false, mip_gap = 1e-4)</t>
  </si>
  <si>
    <t>21.1.6</t>
  </si>
  <si>
    <t>RTS-GMLC_v3.1.10</t>
  </si>
  <si>
    <t>from 3.1
demand and reserve from v2.2.</t>
  </si>
  <si>
    <t>from 3.1
demand rounded to two units
H2 and Storage units aggregated
Reserve requirements calculated with 10% tolerance</t>
  </si>
  <si>
    <t>RTS-GMLC_v3.1.11</t>
  </si>
  <si>
    <t>from 3.1
reserve and energy reserve requirements set to zero
Storage OPEX set  to 5 $/MWh</t>
  </si>
  <si>
    <t>from 3.1.8
Reserve requirements back</t>
  </si>
  <si>
    <t>RTS-GMLC_v3.1.8.2</t>
  </si>
  <si>
    <t>from 3.1.8.1
Storage OPEX set to 5 $/MWh</t>
  </si>
  <si>
    <t>from 3.1
demand from v2.2</t>
  </si>
  <si>
    <t>generator data and fuel from v2.2</t>
  </si>
  <si>
    <t>from 3.1
storage from v2.2</t>
  </si>
  <si>
    <t>RTS-GMLC_v3.1.12</t>
  </si>
  <si>
    <t>from 3.1
H2 generators aggregated
Storage OPEX set to 5 $/MWh</t>
  </si>
  <si>
    <t>from 3.1
Two storage units</t>
  </si>
  <si>
    <t>from 3.1.8.2
Storage OPEX set to 5 $/MWh
double number of storage units</t>
  </si>
  <si>
    <t>from 3.1
Storage OPEX set to 5 $/MWh
H2 fueld cost scaled by 10</t>
  </si>
  <si>
    <t>21.1.8.2.1</t>
  </si>
  <si>
    <t>RTS-GMLC_v3.1.8.3</t>
  </si>
  <si>
    <t>RTS-GMLC_v3.1.8.2.1</t>
  </si>
  <si>
    <t>from 3.1.8.1
Storage OPEX set to 5 $/MWh
H2 generator min capacity divided by 18</t>
  </si>
  <si>
    <t>21.1.8.1.0</t>
  </si>
  <si>
    <t>RTS-GMLC_v3.1.13</t>
  </si>
  <si>
    <t>from 3.1
Storage OPEX set to 5 $/MWh</t>
  </si>
  <si>
    <t>18.3.2s</t>
  </si>
  <si>
    <t xml:space="preserve"> generate_ed_solutions(days = [1], day_µ_configurations_file = "configuration_envelopes", input_folder = "./input/RTS-GMLC_v2.2", output_folder = "./output/RTS-GMLC_v18.3.2su", constrain_redispatch = true, thermal_reserve = true, energy_reserve = false)</t>
  </si>
  <si>
    <t>546beb0</t>
  </si>
  <si>
    <t>RTS-GMLC_v2.4</t>
  </si>
  <si>
    <t>22.0s</t>
  </si>
  <si>
    <t xml:space="preserve"> generate_ed_solutions(days = range(1,5), day_µ_configurations_file = "configuration_envelopes", input_folder = "./input/RTS-GMLC_v2.4", output_folder = "./output/RTS-GMLC_v22.0s", constrain_redispatch = true, thermal_reserve = true, energy_reserve = false, mipgap = 1e-3)</t>
  </si>
  <si>
    <t>From 2.2
Storage scaled to CAISO</t>
  </si>
  <si>
    <t>RTS-GMLC_v2.4.1</t>
  </si>
  <si>
    <t>From 2.2
Batteries scaled to CAISO
Added Hydro reservoir</t>
  </si>
  <si>
    <t>22.1s</t>
  </si>
  <si>
    <t>envelope_compare_v10.0s</t>
  </si>
  <si>
    <t>envelope_compare_v11.0s</t>
  </si>
  <si>
    <t>cf32d26</t>
  </si>
  <si>
    <t>generate_ed_solutions(days = [2,2,3,3], μs= [0.5, 1, 0.5, 1], input_folder = "./input/RTS-GMLC_v2.2", output_folder = "./output/RTS-GMLC_envelope_compare_v11.0s", constrain_redispatch = true, thermal_reserve = true, energy_reserve = false, max_iterations = 2, warm_start_solution_folder = "./output/RTS-GMLC_envelope_benchmark_v9.0s")</t>
  </si>
  <si>
    <t>23.1s</t>
  </si>
  <si>
    <t>generate_ed_solutions(days = [2,2,3,3], μs= [0.5, 1, 0.5, 1], input_folder = "./input/RTS-GMLC_v2.2", output_folder = "./output/RTS-GMLC_envelope_compare_v12.0s", constrain_redispatch = true, thermal_reserve = true, energy_reserve = false, max_iterations = 2, warm_start_solution_folder = "./output/RTS-GMLC_envelope_benchmark_v9.0s")</t>
  </si>
  <si>
    <t>envelope_compare_v12.0s</t>
  </si>
  <si>
    <t>90b8c98faa22fc</t>
  </si>
  <si>
    <t>e_reserve_compare_v12.0s</t>
  </si>
  <si>
    <t xml:space="preserve"> generate_ed_solutions(days = [2,2,3,3], μs= [0.5, 1, 0.5, 1], input_folder = "./input/RTS-GMLC_v2.2", output_folder = "./output/RTS-GMLC_e_reserve_compare_v12.0s", constrain_redispatch = true, thermal_reserve = true, energy_reserve = true, constrain_redispatch_by_energy =  false, warm_start_solution_folder = "./output/RTS-GMLC_e_reserve_benchmark_v9.0s")</t>
  </si>
  <si>
    <t>generate_ed_solutions(day_µ_configurations_file = "configuration_e_reserves", input_folder = "./input/RTS-GMLC_v2.4.1", output_folder = "./output/RTS-GMLC_v23.1s", constrain_redispatch = true, thermal_reserve = true, energy_reserve = true, constrain_redispatch_by_energy =  false, mip_gap = 1e-4, set_storage_inflows = true)</t>
  </si>
  <si>
    <t>generate_ed_solutions(day_µ_configurations_file = "configuration_envelopes", input_folder = "./input/RTS-GMLC_v2.4.1", output_folder = "./output/RTS-GMLC_v22.1s", constrain_redispatch = true, thermal_reserve = true, energy_reserve = false, mip_gap = 1e-4, set_storage_inflows = true)</t>
  </si>
  <si>
    <t>e-reserve
mip_gap = 1e-4</t>
  </si>
  <si>
    <t>generate_ed_solutions(days = [1], day_µ_configurations_file = "configuration_e_reserves", input_folder = "./input/RTS-GMLC_v2.4.2", output_folder = "./output/RTS-GMLC_v25.1s", constrain_redispatch = true, thermal_reserve = true, energy_reserve = true, constrain_redispatch_by_energy =  false, mip_gap = 1e-4, set_storage_inflows = true)</t>
  </si>
  <si>
    <t>generate_ed_solutions(days = [1], day_µ_configurations_file = "configuration_envelopes", input_folder = "./input/RTS-GMLC_v2.4.2", output_folder = "./output/RTS-GMLC_v24.1su", constrain_redispatch = true, thermal_reserve = true, energy_reserve = false, mip_gap = 1e-4, set_storage_inflows = true)</t>
  </si>
  <si>
    <t>24.1s</t>
  </si>
  <si>
    <t>25.1s</t>
  </si>
  <si>
    <t>RTS-GMLC_v2.4.2</t>
  </si>
  <si>
    <t>envelope
mip_gap = 1e-4
constrain_redispatch = true
thermal_reserve = true
energy_reserve = false
 set_storage_inflows = true</t>
  </si>
  <si>
    <t>3bb7681</t>
  </si>
  <si>
    <t>am su</t>
  </si>
  <si>
    <t>24.1.1s</t>
  </si>
  <si>
    <t>same as 24.1
LGEN ==0</t>
  </si>
  <si>
    <t>envelope
mip_gap = 1e-4
Forcing of the same M variable for all storage units</t>
  </si>
  <si>
    <t>envelope
mip_gap = 1e-4
Forcing of the same M variable for all storage units
LGEN = 0</t>
  </si>
  <si>
    <t>26.0s</t>
  </si>
  <si>
    <t>26.1s</t>
  </si>
  <si>
    <t>de836945c20</t>
  </si>
  <si>
    <t>27.0s</t>
  </si>
  <si>
    <t>envelope
mip_gap = 1e-4
Forcing of the same M variable for all storage units
energy reserve = true</t>
  </si>
  <si>
    <t>28.0s</t>
  </si>
  <si>
    <t>d6bfe9d410a8</t>
  </si>
  <si>
    <t>28.1s</t>
  </si>
  <si>
    <t>e-reserve</t>
  </si>
  <si>
    <t>29.0s</t>
  </si>
  <si>
    <t>29.1s</t>
  </si>
  <si>
    <t>envelope
variables_toc_constrain = [:GEN,:CH,:DIS]</t>
  </si>
  <si>
    <t>e-reserve
variables_toc_constrain = [:GEN,:CH,:DIS]</t>
  </si>
  <si>
    <t>d6bfe9d410a8 +variables_toc_constrain = [:GEN,:CH,:DIS] manually</t>
  </si>
  <si>
    <t>28.0.1s</t>
  </si>
  <si>
    <t>envelope
and new multipliers</t>
  </si>
  <si>
    <t>28.1.1s</t>
  </si>
  <si>
    <t>5058aa12f874</t>
  </si>
  <si>
    <t>30.0.1s</t>
  </si>
  <si>
    <t>c1266c74bc92c</t>
  </si>
  <si>
    <t>envelope and new multipliers
capped of random load removed</t>
  </si>
  <si>
    <t>30.1s</t>
  </si>
  <si>
    <t>e-reserve
capped of random load removed</t>
  </si>
  <si>
    <t>30.0.2s</t>
  </si>
  <si>
    <t>d6bfe9d410a8 +variables_to_constrain = [:GEN,:CH,:DIS] manually</t>
  </si>
  <si>
    <t>30.1.1s</t>
  </si>
  <si>
    <t>31.0s</t>
  </si>
  <si>
    <t>e-reserve
variables_to_constrain = [:GEN,:CH,:DIS]
capped of random load removed</t>
  </si>
  <si>
    <t>envelope and new multipliers
variables_to_constrain = [:GEN,:CH,:DIS]
capped of random load removed</t>
  </si>
  <si>
    <t>envelope
new multipliers
variables_to_constrain = [:GEN,:CH,:DIS]
capped of random load removed
constraint_redispatch_by_energy = true</t>
  </si>
  <si>
    <t>31.1s</t>
  </si>
  <si>
    <t>energy reserve
new multipliers
variables_to_constrain = [:GEN,:CH,:DIS]
capped of random load removed
constraint_redispatch_by_energy = true</t>
  </si>
  <si>
    <t>e9496c1ae31ce79678a670fa2424b1d3891a9b6c</t>
  </si>
  <si>
    <t>31.0.1s</t>
  </si>
  <si>
    <t>envelope
new multipliers
variables_to_constrain = [:GEN,:CH,:DIS]
capped of random load removed
constraint_redispatch_by_energy = false</t>
  </si>
  <si>
    <t>31.1.1s</t>
  </si>
  <si>
    <t>energy reserve
new multipliers
variables_to_constrain = [:GEN,:CH,:DIS]
capped of random load removed
constraint_redispatch_by_energy = false</t>
  </si>
  <si>
    <t>32.0s</t>
  </si>
  <si>
    <t>32.1s</t>
  </si>
  <si>
    <t>31018ebac2053</t>
  </si>
  <si>
    <t>32.0.1</t>
  </si>
  <si>
    <t>envelope
constraint redispatch = false</t>
  </si>
  <si>
    <t>32.1.1</t>
  </si>
  <si>
    <t>e-reserve
constraint redispatch = false</t>
  </si>
  <si>
    <t>32.2s</t>
  </si>
  <si>
    <t>envelope
configuration_envelopes_e_reserve_mu_v2</t>
  </si>
  <si>
    <t>from 2.4.1
Renamed CSP and hydro reservoir asset resources
configuration_envelopes_e_reserve_mu =  multiplier calculated based on Ax=B with B = max_{i&lt;=t} ER_{i,t}
configuration_envelopes_e_reserve_mu_v2 =  multiplier calculated based on Ax=B with B = ER_{1,t}
configuration_envelopes_e_reserve_mu_v3 =  multiplier calculated based on Ax=B with B = ER_{1,t} and clip[0,1]</t>
  </si>
  <si>
    <t>32.3s</t>
  </si>
  <si>
    <t>4d26af57c</t>
  </si>
  <si>
    <t>envelope
configuration_envelopes_e_reserve_mu_v3</t>
  </si>
  <si>
    <t>repo</t>
  </si>
  <si>
    <t>RTS-GMLC_v2.1.3</t>
  </si>
  <si>
    <t>net_demand =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</si>
</sst>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rgb="FFCCCCCC"/>
      <name val="Consolas"/>
      <family val="3"/>
    </font>
    <font>
      <strike/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3" fontId="0" fillId="0" borderId="0" xfId="0" applyNumberFormat="1" applyAlignment="1">
      <alignment horizontal="left" vertical="top" wrapText="1"/>
    </xf>
    <xf numFmtId="49" fontId="0" fillId="2" borderId="0" xfId="0" applyNumberForma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1" fontId="0" fillId="0" borderId="0" xfId="0" applyNumberFormat="1"/>
    <xf numFmtId="0" fontId="4" fillId="0" borderId="0" xfId="0" applyFont="1" applyAlignment="1">
      <alignment vertical="top" wrapText="1"/>
    </xf>
    <xf numFmtId="10" fontId="0" fillId="0" borderId="0" xfId="1" applyNumberFormat="1" applyFont="1"/>
    <xf numFmtId="0" fontId="0" fillId="6" borderId="0" xfId="0" applyFill="1"/>
    <xf numFmtId="0" fontId="0" fillId="0" borderId="0" xfId="0" quotePrefix="1" applyAlignment="1">
      <alignment vertical="top"/>
    </xf>
    <xf numFmtId="0" fontId="5" fillId="0" borderId="0" xfId="0" applyFont="1" applyAlignment="1">
      <alignment vertical="top" wrapText="1"/>
    </xf>
    <xf numFmtId="15" fontId="0" fillId="0" borderId="0" xfId="0" applyNumberFormat="1" applyAlignment="1">
      <alignment vertical="top"/>
    </xf>
    <xf numFmtId="15" fontId="0" fillId="0" borderId="0" xfId="0" applyNumberFormat="1"/>
    <xf numFmtId="0" fontId="1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0" fontId="2" fillId="0" borderId="0" xfId="0" applyFont="1"/>
    <xf numFmtId="15" fontId="0" fillId="0" borderId="0" xfId="0" applyNumberFormat="1" applyAlignment="1">
      <alignment vertical="top" wrapText="1"/>
    </xf>
    <xf numFmtId="11" fontId="0" fillId="0" borderId="0" xfId="0" applyNumberFormat="1" applyAlignment="1">
      <alignment vertical="top"/>
    </xf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06A477-A77B-4E4E-9EE0-6AB419F30C7F}">
  <we:reference id="wa104100404" version="3.0.0.1" store="en-US" storeType="OMEX"/>
  <we:alternateReferences>
    <we:reference id="WA104100404" version="3.0.0.1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DC01-B21D-431D-B1B9-84529F00B297}">
  <dimension ref="A1:C72"/>
  <sheetViews>
    <sheetView tabSelected="1" topLeftCell="A49" workbookViewId="0">
      <selection activeCell="C44" sqref="C44"/>
    </sheetView>
  </sheetViews>
  <sheetFormatPr defaultRowHeight="15" x14ac:dyDescent="0.25"/>
  <cols>
    <col min="2" max="2" width="82.85546875" bestFit="1" customWidth="1"/>
    <col min="3" max="3" width="98.85546875" bestFit="1" customWidth="1"/>
  </cols>
  <sheetData>
    <row r="1" spans="2:3" x14ac:dyDescent="0.25">
      <c r="B1" t="s">
        <v>308</v>
      </c>
    </row>
    <row r="3" spans="2:3" ht="30" x14ac:dyDescent="0.25">
      <c r="B3" t="s">
        <v>310</v>
      </c>
      <c r="C3" s="11" t="s">
        <v>362</v>
      </c>
    </row>
    <row r="4" spans="2:3" x14ac:dyDescent="0.25">
      <c r="B4" s="12" t="s">
        <v>311</v>
      </c>
      <c r="C4" t="s">
        <v>309</v>
      </c>
    </row>
    <row r="5" spans="2:3" x14ac:dyDescent="0.25">
      <c r="B5" t="s">
        <v>359</v>
      </c>
      <c r="C5" t="s">
        <v>361</v>
      </c>
    </row>
    <row r="6" spans="2:3" x14ac:dyDescent="0.25">
      <c r="B6" t="s">
        <v>364</v>
      </c>
      <c r="C6" t="s">
        <v>365</v>
      </c>
    </row>
    <row r="7" spans="2:3" x14ac:dyDescent="0.25">
      <c r="B7" t="s">
        <v>380</v>
      </c>
      <c r="C7" t="s">
        <v>374</v>
      </c>
    </row>
    <row r="8" spans="2:3" x14ac:dyDescent="0.25">
      <c r="B8" t="s">
        <v>383</v>
      </c>
      <c r="C8" t="s">
        <v>375</v>
      </c>
    </row>
    <row r="9" spans="2:3" x14ac:dyDescent="0.25">
      <c r="B9" t="s">
        <v>386</v>
      </c>
      <c r="C9" t="s">
        <v>387</v>
      </c>
    </row>
    <row r="10" spans="2:3" x14ac:dyDescent="0.25">
      <c r="B10" t="s">
        <v>390</v>
      </c>
      <c r="C10" t="s">
        <v>528</v>
      </c>
    </row>
    <row r="11" spans="2:3" x14ac:dyDescent="0.25">
      <c r="B11" t="s">
        <v>405</v>
      </c>
      <c r="C11" t="s">
        <v>406</v>
      </c>
    </row>
    <row r="12" spans="2:3" x14ac:dyDescent="0.25">
      <c r="B12" t="s">
        <v>395</v>
      </c>
      <c r="C12" t="s">
        <v>519</v>
      </c>
    </row>
    <row r="13" spans="2:3" x14ac:dyDescent="0.25">
      <c r="B13" t="s">
        <v>398</v>
      </c>
      <c r="C13" t="s">
        <v>399</v>
      </c>
    </row>
    <row r="14" spans="2:3" x14ac:dyDescent="0.25">
      <c r="B14" s="12" t="s">
        <v>402</v>
      </c>
      <c r="C14" t="s">
        <v>403</v>
      </c>
    </row>
    <row r="15" spans="2:3" x14ac:dyDescent="0.25">
      <c r="B15" t="s">
        <v>529</v>
      </c>
      <c r="C15" t="s">
        <v>530</v>
      </c>
    </row>
    <row r="16" spans="2:3" ht="30" x14ac:dyDescent="0.25">
      <c r="B16" s="2" t="s">
        <v>650</v>
      </c>
      <c r="C16" s="1" t="s">
        <v>660</v>
      </c>
    </row>
    <row r="17" spans="2:3" x14ac:dyDescent="0.25">
      <c r="B17" t="s">
        <v>676</v>
      </c>
      <c r="C17" t="s">
        <v>579</v>
      </c>
    </row>
    <row r="18" spans="2:3" x14ac:dyDescent="0.25">
      <c r="B18" t="s">
        <v>677</v>
      </c>
      <c r="C18" t="s">
        <v>581</v>
      </c>
    </row>
    <row r="19" spans="2:3" x14ac:dyDescent="0.25">
      <c r="B19" t="s">
        <v>674</v>
      </c>
      <c r="C19" t="s">
        <v>675</v>
      </c>
    </row>
    <row r="20" spans="2:3" ht="30" x14ac:dyDescent="0.25">
      <c r="B20" t="s">
        <v>680</v>
      </c>
      <c r="C20" s="11" t="s">
        <v>710</v>
      </c>
    </row>
    <row r="21" spans="2:3" x14ac:dyDescent="0.25">
      <c r="B21" t="s">
        <v>709</v>
      </c>
      <c r="C21" s="11" t="s">
        <v>711</v>
      </c>
    </row>
    <row r="22" spans="2:3" ht="30" x14ac:dyDescent="0.25">
      <c r="B22" t="s">
        <v>706</v>
      </c>
      <c r="C22" s="11" t="s">
        <v>707</v>
      </c>
    </row>
    <row r="23" spans="2:3" ht="30" x14ac:dyDescent="0.25">
      <c r="B23" t="s">
        <v>715</v>
      </c>
      <c r="C23" s="11" t="s">
        <v>716</v>
      </c>
    </row>
    <row r="24" spans="2:3" ht="30" x14ac:dyDescent="0.25">
      <c r="B24" t="s">
        <v>712</v>
      </c>
      <c r="C24" s="11" t="s">
        <v>713</v>
      </c>
    </row>
    <row r="25" spans="2:3" ht="45" x14ac:dyDescent="0.25">
      <c r="B25" t="s">
        <v>717</v>
      </c>
      <c r="C25" s="11" t="s">
        <v>719</v>
      </c>
    </row>
    <row r="26" spans="2:3" ht="30" x14ac:dyDescent="0.25">
      <c r="B26" t="s">
        <v>729</v>
      </c>
      <c r="C26" s="11" t="s">
        <v>730</v>
      </c>
    </row>
    <row r="27" spans="2:3" ht="45" x14ac:dyDescent="0.25">
      <c r="B27" t="s">
        <v>738</v>
      </c>
      <c r="C27" s="11" t="s">
        <v>740</v>
      </c>
    </row>
    <row r="28" spans="2:3" x14ac:dyDescent="0.25">
      <c r="B28" t="s">
        <v>769</v>
      </c>
      <c r="C28" s="11" t="s">
        <v>772</v>
      </c>
    </row>
    <row r="29" spans="2:3" ht="30" x14ac:dyDescent="0.25">
      <c r="B29" t="s">
        <v>513</v>
      </c>
      <c r="C29" s="11" t="s">
        <v>515</v>
      </c>
    </row>
    <row r="30" spans="2:3" ht="30" x14ac:dyDescent="0.25">
      <c r="B30" t="s">
        <v>514</v>
      </c>
      <c r="C30" s="11" t="s">
        <v>518</v>
      </c>
    </row>
    <row r="31" spans="2:3" x14ac:dyDescent="0.25">
      <c r="B31" t="s">
        <v>514</v>
      </c>
      <c r="C31" s="11" t="s">
        <v>553</v>
      </c>
    </row>
    <row r="32" spans="2:3" x14ac:dyDescent="0.25">
      <c r="B32" t="s">
        <v>531</v>
      </c>
      <c r="C32" t="s">
        <v>532</v>
      </c>
    </row>
    <row r="34" spans="2:3" ht="45" x14ac:dyDescent="0.25">
      <c r="B34" t="s">
        <v>802</v>
      </c>
      <c r="C34" s="11" t="s">
        <v>972</v>
      </c>
    </row>
    <row r="35" spans="2:3" x14ac:dyDescent="0.25">
      <c r="B35" t="s">
        <v>840</v>
      </c>
      <c r="C35" s="11" t="s">
        <v>841</v>
      </c>
    </row>
    <row r="36" spans="2:3" ht="45" x14ac:dyDescent="0.25">
      <c r="B36" t="s">
        <v>971</v>
      </c>
      <c r="C36" s="11" t="s">
        <v>1086</v>
      </c>
    </row>
    <row r="37" spans="2:3" x14ac:dyDescent="0.25">
      <c r="B37" t="s">
        <v>864</v>
      </c>
      <c r="C37" s="11" t="s">
        <v>867</v>
      </c>
    </row>
    <row r="38" spans="2:3" x14ac:dyDescent="0.25">
      <c r="B38" t="s">
        <v>865</v>
      </c>
      <c r="C38" s="11" t="s">
        <v>866</v>
      </c>
    </row>
    <row r="39" spans="2:3" x14ac:dyDescent="0.25">
      <c r="B39" t="s">
        <v>868</v>
      </c>
      <c r="C39" s="11" t="s">
        <v>869</v>
      </c>
    </row>
    <row r="40" spans="2:3" x14ac:dyDescent="0.25">
      <c r="B40" t="s">
        <v>870</v>
      </c>
      <c r="C40" s="11" t="s">
        <v>871</v>
      </c>
    </row>
    <row r="41" spans="2:3" x14ac:dyDescent="0.25">
      <c r="B41" t="s">
        <v>876</v>
      </c>
      <c r="C41" s="11" t="s">
        <v>877</v>
      </c>
    </row>
    <row r="42" spans="2:3" x14ac:dyDescent="0.25">
      <c r="B42" t="s">
        <v>878</v>
      </c>
      <c r="C42" s="11" t="s">
        <v>879</v>
      </c>
    </row>
    <row r="43" spans="2:3" ht="90" x14ac:dyDescent="0.25">
      <c r="B43" t="s">
        <v>880</v>
      </c>
      <c r="C43" s="11" t="s">
        <v>973</v>
      </c>
    </row>
    <row r="44" spans="2:3" ht="60" x14ac:dyDescent="0.25">
      <c r="B44" t="s">
        <v>891</v>
      </c>
      <c r="C44" s="11" t="s">
        <v>1085</v>
      </c>
    </row>
    <row r="45" spans="2:3" x14ac:dyDescent="0.25">
      <c r="B45" t="s">
        <v>921</v>
      </c>
      <c r="C45" t="s">
        <v>924</v>
      </c>
    </row>
    <row r="46" spans="2:3" x14ac:dyDescent="0.25">
      <c r="B46" t="s">
        <v>922</v>
      </c>
      <c r="C46" s="11" t="s">
        <v>923</v>
      </c>
    </row>
    <row r="47" spans="2:3" x14ac:dyDescent="0.25">
      <c r="B47" t="s">
        <v>1420</v>
      </c>
      <c r="C47" s="11" t="s">
        <v>1421</v>
      </c>
    </row>
    <row r="48" spans="2:3" ht="90" x14ac:dyDescent="0.25">
      <c r="B48" t="s">
        <v>1087</v>
      </c>
      <c r="C48" s="11" t="s">
        <v>1105</v>
      </c>
    </row>
    <row r="49" spans="1:3" ht="30" x14ac:dyDescent="0.25">
      <c r="B49" t="s">
        <v>1191</v>
      </c>
      <c r="C49" s="11" t="s">
        <v>1192</v>
      </c>
    </row>
    <row r="50" spans="1:3" x14ac:dyDescent="0.25">
      <c r="B50" t="s">
        <v>1157</v>
      </c>
      <c r="C50" s="11" t="s">
        <v>1158</v>
      </c>
    </row>
    <row r="51" spans="1:3" ht="30" x14ac:dyDescent="0.25">
      <c r="B51" t="s">
        <v>1337</v>
      </c>
      <c r="C51" s="11" t="s">
        <v>1340</v>
      </c>
    </row>
    <row r="52" spans="1:3" ht="45" x14ac:dyDescent="0.25">
      <c r="B52" s="39" t="s">
        <v>1341</v>
      </c>
      <c r="C52" s="11" t="s">
        <v>1342</v>
      </c>
    </row>
    <row r="53" spans="1:3" ht="90" x14ac:dyDescent="0.25">
      <c r="A53" t="s">
        <v>1419</v>
      </c>
      <c r="B53" s="43" t="s">
        <v>1361</v>
      </c>
      <c r="C53" s="11" t="s">
        <v>1415</v>
      </c>
    </row>
    <row r="54" spans="1:3" ht="45" x14ac:dyDescent="0.25">
      <c r="B54" t="s">
        <v>1252</v>
      </c>
      <c r="C54" s="11" t="s">
        <v>1254</v>
      </c>
    </row>
    <row r="55" spans="1:3" x14ac:dyDescent="0.25">
      <c r="A55" t="s">
        <v>1419</v>
      </c>
      <c r="B55" s="43" t="s">
        <v>1257</v>
      </c>
      <c r="C55" t="s">
        <v>1253</v>
      </c>
    </row>
    <row r="56" spans="1:3" ht="30" x14ac:dyDescent="0.25">
      <c r="B56" t="s">
        <v>1262</v>
      </c>
      <c r="C56" s="11" t="s">
        <v>1265</v>
      </c>
    </row>
    <row r="57" spans="1:3" ht="30" x14ac:dyDescent="0.25">
      <c r="B57" t="s">
        <v>1266</v>
      </c>
      <c r="C57" s="11" t="s">
        <v>1267</v>
      </c>
    </row>
    <row r="58" spans="1:3" x14ac:dyDescent="0.25">
      <c r="B58" t="s">
        <v>1271</v>
      </c>
      <c r="C58" s="11" t="s">
        <v>1320</v>
      </c>
    </row>
    <row r="59" spans="1:3" ht="30" x14ac:dyDescent="0.25">
      <c r="B59" t="s">
        <v>1272</v>
      </c>
      <c r="C59" s="11" t="s">
        <v>1321</v>
      </c>
    </row>
    <row r="60" spans="1:3" ht="30" x14ac:dyDescent="0.25">
      <c r="B60" t="s">
        <v>1273</v>
      </c>
      <c r="C60" s="11" t="s">
        <v>1319</v>
      </c>
    </row>
    <row r="61" spans="1:3" ht="30" x14ac:dyDescent="0.25">
      <c r="B61" t="s">
        <v>1274</v>
      </c>
      <c r="C61" s="11" t="s">
        <v>1312</v>
      </c>
    </row>
    <row r="62" spans="1:3" ht="30" x14ac:dyDescent="0.25">
      <c r="B62" t="s">
        <v>1292</v>
      </c>
      <c r="C62" s="11" t="s">
        <v>1324</v>
      </c>
    </row>
    <row r="63" spans="1:3" ht="60" x14ac:dyDescent="0.25">
      <c r="B63" t="s">
        <v>1293</v>
      </c>
      <c r="C63" s="11" t="s">
        <v>1313</v>
      </c>
    </row>
    <row r="64" spans="1:3" ht="30" x14ac:dyDescent="0.25">
      <c r="B64" t="s">
        <v>1300</v>
      </c>
      <c r="C64" s="11" t="s">
        <v>1316</v>
      </c>
    </row>
    <row r="65" spans="2:3" ht="30" x14ac:dyDescent="0.25">
      <c r="B65" t="s">
        <v>1317</v>
      </c>
      <c r="C65" s="11" t="s">
        <v>1318</v>
      </c>
    </row>
    <row r="66" spans="2:3" ht="45" x14ac:dyDescent="0.25">
      <c r="B66" t="s">
        <v>1329</v>
      </c>
      <c r="C66" s="11" t="s">
        <v>1330</v>
      </c>
    </row>
    <row r="67" spans="2:3" ht="45" x14ac:dyDescent="0.25">
      <c r="B67" t="s">
        <v>1328</v>
      </c>
      <c r="C67" s="11" t="s">
        <v>1325</v>
      </c>
    </row>
    <row r="68" spans="2:3" x14ac:dyDescent="0.25">
      <c r="C68" s="11"/>
    </row>
    <row r="69" spans="2:3" ht="45" x14ac:dyDescent="0.25">
      <c r="B69" t="s">
        <v>1311</v>
      </c>
      <c r="C69" s="11" t="s">
        <v>1315</v>
      </c>
    </row>
    <row r="70" spans="2:3" ht="45" x14ac:dyDescent="0.25">
      <c r="B70" t="s">
        <v>1314</v>
      </c>
      <c r="C70" s="11" t="s">
        <v>1326</v>
      </c>
    </row>
    <row r="71" spans="2:3" ht="45" x14ac:dyDescent="0.25">
      <c r="B71" t="s">
        <v>1322</v>
      </c>
      <c r="C71" s="11" t="s">
        <v>1323</v>
      </c>
    </row>
    <row r="72" spans="2:3" ht="30" x14ac:dyDescent="0.25">
      <c r="B72" t="s">
        <v>1332</v>
      </c>
      <c r="C72" s="11" t="s">
        <v>1333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6"/>
  <sheetViews>
    <sheetView showGridLines="0" topLeftCell="A572" workbookViewId="0">
      <selection activeCell="B585" sqref="B585"/>
    </sheetView>
  </sheetViews>
  <sheetFormatPr defaultRowHeight="15" x14ac:dyDescent="0.25"/>
  <cols>
    <col min="1" max="1" width="42.140625" customWidth="1"/>
    <col min="2" max="2" width="54.28515625" bestFit="1" customWidth="1"/>
    <col min="3" max="3" width="18" customWidth="1"/>
    <col min="4" max="4" width="34.28515625" style="39" customWidth="1"/>
    <col min="5" max="5" width="105.5703125" customWidth="1"/>
  </cols>
  <sheetData>
    <row r="1" spans="1:17" s="13" customFormat="1" x14ac:dyDescent="0.25">
      <c r="A1" s="1" t="s">
        <v>10</v>
      </c>
      <c r="B1" s="4" t="s">
        <v>8</v>
      </c>
      <c r="C1" s="4" t="s">
        <v>9</v>
      </c>
      <c r="D1" s="36" t="s">
        <v>7</v>
      </c>
      <c r="E1" s="4" t="s">
        <v>60</v>
      </c>
      <c r="F1" s="4" t="s">
        <v>61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s="13" customFormat="1" ht="105" x14ac:dyDescent="0.25">
      <c r="A2" s="3">
        <v>1</v>
      </c>
      <c r="B2" s="1" t="s">
        <v>3</v>
      </c>
      <c r="C2" s="2" t="s">
        <v>0</v>
      </c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s="13" customFormat="1" ht="225" x14ac:dyDescent="0.25">
      <c r="A3" s="3">
        <v>1.1000000000000001</v>
      </c>
      <c r="B3" s="1" t="s">
        <v>3</v>
      </c>
      <c r="C3" s="2" t="s">
        <v>1</v>
      </c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s="13" customFormat="1" ht="270" x14ac:dyDescent="0.25">
      <c r="A4" s="3">
        <v>1.2</v>
      </c>
      <c r="B4" s="1" t="s">
        <v>3</v>
      </c>
      <c r="C4" s="2" t="s">
        <v>2</v>
      </c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s="13" customFormat="1" x14ac:dyDescent="0.25">
      <c r="A5" s="3" t="s">
        <v>11</v>
      </c>
      <c r="B5" s="1" t="s">
        <v>3</v>
      </c>
      <c r="C5" s="1" t="s">
        <v>6</v>
      </c>
      <c r="D5" s="7" t="s">
        <v>12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s="13" customFormat="1" x14ac:dyDescent="0.25">
      <c r="A6" s="3" t="s">
        <v>13</v>
      </c>
      <c r="B6" s="1" t="s">
        <v>3</v>
      </c>
      <c r="C6" s="1" t="s">
        <v>6</v>
      </c>
      <c r="D6" s="7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s="13" customFormat="1" ht="135" x14ac:dyDescent="0.25">
      <c r="A7" s="3" t="s">
        <v>14</v>
      </c>
      <c r="B7" s="1" t="s">
        <v>15</v>
      </c>
      <c r="C7" s="2" t="s">
        <v>19</v>
      </c>
      <c r="D7" s="7" t="s">
        <v>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13" customFormat="1" ht="135" x14ac:dyDescent="0.25">
      <c r="A8" s="3" t="s">
        <v>17</v>
      </c>
      <c r="B8" s="1" t="s">
        <v>15</v>
      </c>
      <c r="C8" s="2" t="s">
        <v>19</v>
      </c>
      <c r="D8" s="7" t="s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s="13" customFormat="1" ht="135" x14ac:dyDescent="0.25">
      <c r="A9" s="3" t="s">
        <v>20</v>
      </c>
      <c r="B9" s="1" t="s">
        <v>15</v>
      </c>
      <c r="C9" s="2" t="s">
        <v>19</v>
      </c>
      <c r="D9" s="37" t="s">
        <v>22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13" customFormat="1" ht="135" x14ac:dyDescent="0.25">
      <c r="A10" s="3" t="s">
        <v>23</v>
      </c>
      <c r="B10" s="1" t="s">
        <v>15</v>
      </c>
      <c r="C10" s="2" t="s">
        <v>19</v>
      </c>
      <c r="D10" s="37" t="s">
        <v>24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s="13" customFormat="1" x14ac:dyDescent="0.25">
      <c r="A11" s="3">
        <v>1.3</v>
      </c>
      <c r="B11" s="1" t="s">
        <v>3</v>
      </c>
      <c r="C11" s="1" t="s">
        <v>6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s="13" customFormat="1" x14ac:dyDescent="0.25">
      <c r="A12" s="3">
        <v>1.4</v>
      </c>
      <c r="B12" s="1" t="s">
        <v>3</v>
      </c>
      <c r="C12" s="1" t="s">
        <v>6</v>
      </c>
      <c r="D12" s="7" t="s">
        <v>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s="13" customFormat="1" ht="360" x14ac:dyDescent="0.25">
      <c r="A13" s="3">
        <v>1.5</v>
      </c>
      <c r="B13" s="1" t="s">
        <v>3</v>
      </c>
      <c r="C13" s="2" t="s">
        <v>16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s="13" customFormat="1" ht="150" x14ac:dyDescent="0.25">
      <c r="A14" s="3">
        <v>1.6</v>
      </c>
      <c r="B14" s="1" t="s">
        <v>3</v>
      </c>
      <c r="C14" s="2" t="s">
        <v>5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s="13" customFormat="1" ht="150" x14ac:dyDescent="0.25">
      <c r="A15" s="3">
        <v>1.7</v>
      </c>
      <c r="B15" s="1" t="s">
        <v>3</v>
      </c>
      <c r="C15" s="2" t="s">
        <v>5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s="13" customFormat="1" ht="270" x14ac:dyDescent="0.25">
      <c r="A16" s="6" t="s">
        <v>25</v>
      </c>
      <c r="B16" s="1" t="s">
        <v>3</v>
      </c>
      <c r="C16" s="2" t="s">
        <v>2</v>
      </c>
      <c r="D16" s="14"/>
      <c r="E16" s="7" t="s">
        <v>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s="13" customFormat="1" x14ac:dyDescent="0.25">
      <c r="A17" s="3">
        <v>2.1</v>
      </c>
      <c r="B17" s="1" t="s">
        <v>3</v>
      </c>
      <c r="C17" s="1" t="s">
        <v>6</v>
      </c>
      <c r="D17" s="7" t="s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s="13" customFormat="1" ht="360" x14ac:dyDescent="0.25">
      <c r="A18" s="3" t="s">
        <v>27</v>
      </c>
      <c r="B18" s="1" t="s">
        <v>3</v>
      </c>
      <c r="C18" s="2" t="s">
        <v>16</v>
      </c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s="13" customFormat="1" ht="60" x14ac:dyDescent="0.25">
      <c r="A19" s="3" t="s">
        <v>28</v>
      </c>
      <c r="B19" s="1" t="s">
        <v>3</v>
      </c>
      <c r="C19" s="2" t="s">
        <v>29</v>
      </c>
      <c r="D19" s="37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s="13" customFormat="1" ht="60" x14ac:dyDescent="0.25">
      <c r="A20" s="3" t="s">
        <v>30</v>
      </c>
      <c r="B20" s="1" t="s">
        <v>3</v>
      </c>
      <c r="C20" s="2" t="s">
        <v>29</v>
      </c>
      <c r="D20" s="7" t="s">
        <v>31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13" customFormat="1" ht="60" x14ac:dyDescent="0.25">
      <c r="A21" s="3" t="s">
        <v>32</v>
      </c>
      <c r="B21" s="1" t="s">
        <v>3</v>
      </c>
      <c r="C21" s="2" t="s">
        <v>29</v>
      </c>
      <c r="D21" s="38" t="s">
        <v>33</v>
      </c>
      <c r="E21" s="5"/>
      <c r="F21" s="1" t="s">
        <v>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s="13" customFormat="1" ht="60" x14ac:dyDescent="0.25">
      <c r="A22" s="6" t="s">
        <v>34</v>
      </c>
      <c r="B22" s="1" t="s">
        <v>3</v>
      </c>
      <c r="C22" s="2" t="s">
        <v>29</v>
      </c>
      <c r="D22" s="7" t="s">
        <v>36</v>
      </c>
      <c r="E22" s="1" t="s">
        <v>62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s="13" customFormat="1" ht="60" x14ac:dyDescent="0.25">
      <c r="A23" s="3" t="s">
        <v>44</v>
      </c>
      <c r="B23" s="1" t="s">
        <v>3</v>
      </c>
      <c r="C23" s="2" t="s">
        <v>29</v>
      </c>
      <c r="D23" s="7" t="s">
        <v>36</v>
      </c>
      <c r="E23" s="1"/>
      <c r="F23" s="1" t="s">
        <v>45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s="13" customFormat="1" ht="60" x14ac:dyDescent="0.25">
      <c r="A24" s="3" t="s">
        <v>37</v>
      </c>
      <c r="B24" s="1" t="s">
        <v>3</v>
      </c>
      <c r="C24" s="2" t="s">
        <v>29</v>
      </c>
      <c r="D24" s="7" t="s">
        <v>39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s="13" customFormat="1" x14ac:dyDescent="0.25">
      <c r="A25" s="3">
        <v>2.8</v>
      </c>
      <c r="B25" s="1" t="s">
        <v>3</v>
      </c>
      <c r="C25" s="1" t="s">
        <v>38</v>
      </c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s="13" customFormat="1" ht="60" x14ac:dyDescent="0.25">
      <c r="A26" s="3">
        <v>2.9</v>
      </c>
      <c r="B26" s="1" t="s">
        <v>3</v>
      </c>
      <c r="C26" s="2" t="s">
        <v>29</v>
      </c>
      <c r="D26" s="37" t="s">
        <v>40</v>
      </c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s="13" customFormat="1" ht="60" x14ac:dyDescent="0.25">
      <c r="A27" s="3" t="s">
        <v>41</v>
      </c>
      <c r="B27" s="1" t="s">
        <v>3</v>
      </c>
      <c r="C27" s="2" t="s">
        <v>29</v>
      </c>
      <c r="D27" s="37" t="s">
        <v>42</v>
      </c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s="13" customFormat="1" ht="60" x14ac:dyDescent="0.25">
      <c r="A28" s="3" t="s">
        <v>43</v>
      </c>
      <c r="B28" s="1" t="s">
        <v>3</v>
      </c>
      <c r="C28" s="2" t="s">
        <v>29</v>
      </c>
      <c r="D28" s="37" t="s">
        <v>81</v>
      </c>
      <c r="E28" s="2"/>
      <c r="F28" s="1" t="s">
        <v>46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s="13" customFormat="1" ht="60" x14ac:dyDescent="0.25">
      <c r="A29" s="6" t="s">
        <v>49</v>
      </c>
      <c r="B29" s="1" t="s">
        <v>3</v>
      </c>
      <c r="C29" s="2" t="s">
        <v>29</v>
      </c>
      <c r="D29" s="37" t="s">
        <v>81</v>
      </c>
      <c r="E29" s="2"/>
      <c r="F29" s="1" t="s">
        <v>47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s="13" customFormat="1" ht="60" x14ac:dyDescent="0.25">
      <c r="A30" s="3" t="s">
        <v>48</v>
      </c>
      <c r="B30" s="1" t="s">
        <v>3</v>
      </c>
      <c r="C30" s="2" t="s">
        <v>29</v>
      </c>
      <c r="D30" s="37" t="s">
        <v>50</v>
      </c>
      <c r="E30" s="2"/>
      <c r="F30" s="1" t="s">
        <v>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s="13" customFormat="1" ht="60" x14ac:dyDescent="0.25">
      <c r="A31" s="3" t="s">
        <v>56</v>
      </c>
      <c r="B31" s="1" t="s">
        <v>3</v>
      </c>
      <c r="C31" s="2" t="s">
        <v>29</v>
      </c>
      <c r="D31" s="37" t="s">
        <v>81</v>
      </c>
      <c r="E31" s="2"/>
      <c r="F31" s="1" t="s">
        <v>57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s="13" customFormat="1" ht="30" x14ac:dyDescent="0.25">
      <c r="A32" s="3" t="s">
        <v>53</v>
      </c>
      <c r="B32" s="1" t="s">
        <v>3</v>
      </c>
      <c r="C32" s="2" t="s">
        <v>51</v>
      </c>
      <c r="D32" s="37" t="s">
        <v>82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s="13" customFormat="1" ht="60" x14ac:dyDescent="0.25">
      <c r="A33" s="3">
        <v>3.1</v>
      </c>
      <c r="B33" s="1" t="s">
        <v>3</v>
      </c>
      <c r="C33" s="2" t="s">
        <v>29</v>
      </c>
      <c r="D33" s="37" t="s">
        <v>83</v>
      </c>
      <c r="E33" s="2"/>
      <c r="F33" s="1" t="s">
        <v>55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s="13" customFormat="1" ht="60" x14ac:dyDescent="0.25">
      <c r="A34" s="6" t="s">
        <v>54</v>
      </c>
      <c r="B34" s="1" t="s">
        <v>3</v>
      </c>
      <c r="C34" s="2" t="s">
        <v>29</v>
      </c>
      <c r="D34" s="37" t="s">
        <v>84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s="13" customFormat="1" x14ac:dyDescent="0.25">
      <c r="A35" s="6"/>
      <c r="B35" s="1"/>
      <c r="C35" s="2"/>
      <c r="D35" s="3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s="13" customFormat="1" ht="60" x14ac:dyDescent="0.25">
      <c r="A36" s="3" t="s">
        <v>63</v>
      </c>
      <c r="B36" s="1" t="s">
        <v>3</v>
      </c>
      <c r="C36" s="2" t="s">
        <v>29</v>
      </c>
      <c r="D36" s="37" t="s">
        <v>67</v>
      </c>
      <c r="E36" s="2" t="s">
        <v>69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s="13" customFormat="1" ht="60" x14ac:dyDescent="0.25">
      <c r="A37" s="3" t="s">
        <v>70</v>
      </c>
      <c r="B37" s="1" t="s">
        <v>3</v>
      </c>
      <c r="C37" s="2" t="s">
        <v>29</v>
      </c>
      <c r="D37" s="37" t="s">
        <v>71</v>
      </c>
      <c r="E37" s="2" t="s">
        <v>69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s="13" customFormat="1" ht="60" x14ac:dyDescent="0.25">
      <c r="A38" s="3" t="s">
        <v>58</v>
      </c>
      <c r="B38" s="1" t="s">
        <v>3</v>
      </c>
      <c r="C38" s="2" t="s">
        <v>29</v>
      </c>
      <c r="D38" s="37" t="s">
        <v>85</v>
      </c>
      <c r="E38" s="2" t="s">
        <v>59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s="13" customFormat="1" ht="45" x14ac:dyDescent="0.25">
      <c r="A39" s="3" t="s">
        <v>64</v>
      </c>
      <c r="B39" s="1"/>
      <c r="C39" s="1"/>
      <c r="D39" s="37" t="s">
        <v>85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s="13" customFormat="1" ht="60" x14ac:dyDescent="0.25">
      <c r="A40" s="3" t="s">
        <v>65</v>
      </c>
      <c r="B40" s="1" t="s">
        <v>3</v>
      </c>
      <c r="C40" s="2" t="s">
        <v>29</v>
      </c>
      <c r="D40" s="37" t="s">
        <v>66</v>
      </c>
      <c r="E40" s="1" t="s">
        <v>68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s="13" customFormat="1" ht="45" x14ac:dyDescent="0.25">
      <c r="A41" s="3" t="s">
        <v>72</v>
      </c>
      <c r="B41" s="1" t="s">
        <v>3</v>
      </c>
      <c r="C41" s="2" t="s">
        <v>51</v>
      </c>
      <c r="D41" s="37" t="s">
        <v>84</v>
      </c>
      <c r="E41" s="2" t="s">
        <v>74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s="13" customFormat="1" ht="75" x14ac:dyDescent="0.25">
      <c r="A42" s="3" t="s">
        <v>73</v>
      </c>
      <c r="B42" s="1" t="s">
        <v>3</v>
      </c>
      <c r="C42" s="2" t="s">
        <v>29</v>
      </c>
      <c r="D42" s="37" t="s">
        <v>86</v>
      </c>
      <c r="E42" s="2" t="s">
        <v>75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s="13" customFormat="1" ht="75" x14ac:dyDescent="0.25">
      <c r="A43" s="3" t="s">
        <v>76</v>
      </c>
      <c r="B43" s="1" t="s">
        <v>3</v>
      </c>
      <c r="C43" s="2" t="s">
        <v>29</v>
      </c>
      <c r="D43" s="37" t="s">
        <v>86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s="13" customFormat="1" ht="90" x14ac:dyDescent="0.25">
      <c r="A44" s="3" t="s">
        <v>77</v>
      </c>
      <c r="B44" s="1" t="s">
        <v>3</v>
      </c>
      <c r="C44" s="2" t="s">
        <v>29</v>
      </c>
      <c r="D44" s="37" t="s">
        <v>87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s="13" customFormat="1" ht="90" x14ac:dyDescent="0.25">
      <c r="A45" s="3" t="s">
        <v>79</v>
      </c>
      <c r="B45" s="1" t="s">
        <v>3</v>
      </c>
      <c r="C45" s="2" t="s">
        <v>29</v>
      </c>
      <c r="D45" s="37" t="s">
        <v>87</v>
      </c>
      <c r="E45" s="1" t="s">
        <v>78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s="13" customFormat="1" ht="90" x14ac:dyDescent="0.25">
      <c r="A46" s="3" t="s">
        <v>80</v>
      </c>
      <c r="B46" s="1" t="s">
        <v>3</v>
      </c>
      <c r="C46" s="2" t="s">
        <v>29</v>
      </c>
      <c r="D46" s="37" t="s">
        <v>88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s="13" customFormat="1" ht="135" x14ac:dyDescent="0.25">
      <c r="A47" s="3" t="s">
        <v>89</v>
      </c>
      <c r="B47" s="1" t="s">
        <v>3</v>
      </c>
      <c r="C47" s="2" t="s">
        <v>29</v>
      </c>
      <c r="D47" s="37" t="s">
        <v>90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s="13" customFormat="1" ht="135" x14ac:dyDescent="0.25">
      <c r="A48" s="3" t="s">
        <v>91</v>
      </c>
      <c r="B48" s="1" t="s">
        <v>3</v>
      </c>
      <c r="C48" s="2" t="s">
        <v>29</v>
      </c>
      <c r="D48" s="37" t="s">
        <v>90</v>
      </c>
      <c r="E48" s="1" t="s">
        <v>59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s="13" customFormat="1" ht="135" x14ac:dyDescent="0.25">
      <c r="A49" s="3" t="s">
        <v>92</v>
      </c>
      <c r="B49" s="1" t="s">
        <v>3</v>
      </c>
      <c r="C49" s="2" t="s">
        <v>29</v>
      </c>
      <c r="D49" s="37" t="s">
        <v>90</v>
      </c>
      <c r="E49" s="1" t="s">
        <v>93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s="13" customFormat="1" ht="135" x14ac:dyDescent="0.25">
      <c r="A50" s="3" t="s">
        <v>107</v>
      </c>
      <c r="B50" s="1" t="s">
        <v>3</v>
      </c>
      <c r="C50" s="2" t="s">
        <v>29</v>
      </c>
      <c r="D50" s="37" t="s">
        <v>94</v>
      </c>
      <c r="E50" s="8" t="s">
        <v>95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s="13" customFormat="1" ht="135" x14ac:dyDescent="0.25">
      <c r="A51" s="3" t="s">
        <v>106</v>
      </c>
      <c r="B51" s="1" t="s">
        <v>3</v>
      </c>
      <c r="C51" s="2" t="s">
        <v>29</v>
      </c>
      <c r="D51" s="37" t="s">
        <v>94</v>
      </c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s="13" customFormat="1" ht="135" x14ac:dyDescent="0.25">
      <c r="A52" s="3" t="s">
        <v>96</v>
      </c>
      <c r="B52" s="1" t="s">
        <v>3</v>
      </c>
      <c r="C52" s="2" t="s">
        <v>29</v>
      </c>
      <c r="D52" s="37" t="s">
        <v>97</v>
      </c>
      <c r="E52" s="1" t="s">
        <v>98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s="13" customFormat="1" x14ac:dyDescent="0.25">
      <c r="A53" s="3"/>
      <c r="B53" s="1"/>
      <c r="C53" s="2"/>
      <c r="D53" s="3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s="13" customFormat="1" ht="120" x14ac:dyDescent="0.25">
      <c r="A54" s="3" t="s">
        <v>99</v>
      </c>
      <c r="B54" s="1" t="s">
        <v>3</v>
      </c>
      <c r="C54" s="2" t="s">
        <v>29</v>
      </c>
      <c r="D54" s="37" t="s">
        <v>110</v>
      </c>
      <c r="E54" s="8" t="s">
        <v>123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s="13" customFormat="1" ht="120" x14ac:dyDescent="0.25">
      <c r="A55" s="3" t="s">
        <v>109</v>
      </c>
      <c r="B55" s="1" t="s">
        <v>3</v>
      </c>
      <c r="C55" s="2" t="s">
        <v>29</v>
      </c>
      <c r="D55" s="37" t="s">
        <v>110</v>
      </c>
      <c r="E55" s="1" t="s">
        <v>122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7" s="13" customFormat="1" ht="135" x14ac:dyDescent="0.25">
      <c r="A56" s="3" t="s">
        <v>111</v>
      </c>
      <c r="B56" s="1" t="s">
        <v>3</v>
      </c>
      <c r="C56" s="2" t="s">
        <v>29</v>
      </c>
      <c r="D56" s="37" t="s">
        <v>113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7" s="13" customFormat="1" ht="135" x14ac:dyDescent="0.25">
      <c r="A57" s="3" t="s">
        <v>112</v>
      </c>
      <c r="B57" s="1" t="s">
        <v>3</v>
      </c>
      <c r="C57" s="2" t="s">
        <v>29</v>
      </c>
      <c r="D57" s="37" t="s">
        <v>114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7" s="13" customFormat="1" ht="135" x14ac:dyDescent="0.25">
      <c r="A58" s="3" t="s">
        <v>115</v>
      </c>
      <c r="B58" s="1" t="s">
        <v>3</v>
      </c>
      <c r="C58" s="2" t="s">
        <v>29</v>
      </c>
      <c r="D58" s="37" t="s">
        <v>1089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7" s="13" customFormat="1" ht="120" x14ac:dyDescent="0.25">
      <c r="A59" s="3" t="s">
        <v>117</v>
      </c>
      <c r="B59" s="1" t="s">
        <v>3</v>
      </c>
      <c r="C59" s="2" t="s">
        <v>29</v>
      </c>
      <c r="D59" s="37" t="s">
        <v>1090</v>
      </c>
      <c r="E59" s="1" t="s">
        <v>124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7" s="13" customFormat="1" x14ac:dyDescent="0.25">
      <c r="A60" s="3" t="s">
        <v>118</v>
      </c>
      <c r="B60" s="1" t="s">
        <v>3</v>
      </c>
      <c r="C60" s="2"/>
      <c r="D60" s="37"/>
      <c r="E60" s="1" t="s">
        <v>119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7" s="13" customFormat="1" ht="135" x14ac:dyDescent="0.25">
      <c r="A61" s="3" t="s">
        <v>120</v>
      </c>
      <c r="B61" s="1" t="s">
        <v>3</v>
      </c>
      <c r="C61" s="2" t="s">
        <v>29</v>
      </c>
      <c r="D61" s="37" t="s">
        <v>121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s="13" customFormat="1" ht="150" x14ac:dyDescent="0.25">
      <c r="A62" s="3" t="s">
        <v>100</v>
      </c>
      <c r="B62" s="1" t="s">
        <v>3</v>
      </c>
      <c r="C62" s="2" t="s">
        <v>29</v>
      </c>
      <c r="D62" s="37" t="s">
        <v>116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s="13" customFormat="1" ht="150" x14ac:dyDescent="0.25">
      <c r="A63" s="3" t="s">
        <v>103</v>
      </c>
      <c r="B63" s="1" t="s">
        <v>3</v>
      </c>
      <c r="C63" s="2" t="s">
        <v>29</v>
      </c>
      <c r="D63" s="37" t="s">
        <v>1091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s="13" customFormat="1" ht="180" x14ac:dyDescent="0.25">
      <c r="A64" s="3" t="s">
        <v>101</v>
      </c>
      <c r="B64" s="1" t="s">
        <v>102</v>
      </c>
      <c r="C64" s="2" t="s">
        <v>29</v>
      </c>
      <c r="D64" s="37" t="s">
        <v>1092</v>
      </c>
      <c r="E64" s="1" t="s">
        <v>108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s="13" customFormat="1" ht="120" x14ac:dyDescent="0.25">
      <c r="A65" s="3" t="s">
        <v>104</v>
      </c>
      <c r="B65" s="1" t="s">
        <v>3</v>
      </c>
      <c r="C65" s="2" t="s">
        <v>29</v>
      </c>
      <c r="D65" s="37" t="s">
        <v>105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s="13" customFormat="1" ht="120" x14ac:dyDescent="0.25">
      <c r="A66" s="3" t="s">
        <v>125</v>
      </c>
      <c r="B66" s="1" t="s">
        <v>3</v>
      </c>
      <c r="C66" s="2" t="s">
        <v>29</v>
      </c>
      <c r="D66" s="37" t="s">
        <v>1093</v>
      </c>
      <c r="E66" s="9" t="s">
        <v>126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s="13" customFormat="1" ht="120" x14ac:dyDescent="0.25">
      <c r="A67" s="3" t="s">
        <v>127</v>
      </c>
      <c r="B67" s="1" t="s">
        <v>3</v>
      </c>
      <c r="C67" s="2"/>
      <c r="D67" s="37" t="s">
        <v>110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s="13" customFormat="1" ht="120" x14ac:dyDescent="0.25">
      <c r="A68" s="3" t="s">
        <v>128</v>
      </c>
      <c r="B68" s="1" t="s">
        <v>3</v>
      </c>
      <c r="C68" s="2"/>
      <c r="D68" s="37" t="s">
        <v>1093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s="13" customFormat="1" x14ac:dyDescent="0.25">
      <c r="A69" s="3" t="s">
        <v>134</v>
      </c>
      <c r="B69" s="1" t="s">
        <v>135</v>
      </c>
      <c r="C69" s="1" t="s">
        <v>135</v>
      </c>
      <c r="D69" s="7" t="s">
        <v>135</v>
      </c>
      <c r="E69" s="1" t="s">
        <v>136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s="13" customFormat="1" ht="30" x14ac:dyDescent="0.25">
      <c r="A70" s="3" t="s">
        <v>129</v>
      </c>
      <c r="B70" s="1" t="s">
        <v>3</v>
      </c>
      <c r="C70" s="1"/>
      <c r="D70" s="7" t="s">
        <v>130</v>
      </c>
      <c r="E70" s="2" t="s">
        <v>131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s="13" customFormat="1" ht="120" x14ac:dyDescent="0.25">
      <c r="A71" s="3" t="s">
        <v>133</v>
      </c>
      <c r="B71" s="1" t="s">
        <v>3</v>
      </c>
      <c r="C71" s="2" t="s">
        <v>132</v>
      </c>
      <c r="D71" s="37" t="s">
        <v>110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s="13" customFormat="1" ht="120" x14ac:dyDescent="0.25">
      <c r="A72" s="3" t="s">
        <v>137</v>
      </c>
      <c r="B72" s="1" t="s">
        <v>3</v>
      </c>
      <c r="C72" s="2" t="s">
        <v>132</v>
      </c>
      <c r="D72" s="37" t="s">
        <v>1093</v>
      </c>
      <c r="E72" s="9" t="s">
        <v>138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s="13" customFormat="1" ht="120" x14ac:dyDescent="0.25">
      <c r="A73" s="3" t="s">
        <v>140</v>
      </c>
      <c r="B73" s="1" t="s">
        <v>3</v>
      </c>
      <c r="C73" s="2" t="s">
        <v>132</v>
      </c>
      <c r="D73" s="37" t="s">
        <v>1093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s="13" customFormat="1" ht="135" x14ac:dyDescent="0.25">
      <c r="A74" s="3" t="s">
        <v>139</v>
      </c>
      <c r="B74" s="1" t="s">
        <v>3</v>
      </c>
      <c r="C74" s="2" t="s">
        <v>132</v>
      </c>
      <c r="D74" s="37" t="s">
        <v>142</v>
      </c>
      <c r="E74" s="1" t="s">
        <v>141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s="13" customFormat="1" ht="150" x14ac:dyDescent="0.25">
      <c r="A75" s="3" t="s">
        <v>151</v>
      </c>
      <c r="B75" s="1" t="s">
        <v>3</v>
      </c>
      <c r="C75" s="2">
        <v>27</v>
      </c>
      <c r="D75" s="37" t="s">
        <v>154</v>
      </c>
      <c r="E75" s="1" t="s">
        <v>152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s="13" customFormat="1" ht="30" x14ac:dyDescent="0.25">
      <c r="A76" s="3" t="s">
        <v>143</v>
      </c>
      <c r="B76" s="1" t="s">
        <v>3</v>
      </c>
      <c r="C76" s="1">
        <v>27</v>
      </c>
      <c r="D76" s="37" t="s">
        <v>145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s="13" customFormat="1" ht="45" x14ac:dyDescent="0.25">
      <c r="A77" s="3" t="s">
        <v>153</v>
      </c>
      <c r="B77" s="1" t="s">
        <v>3</v>
      </c>
      <c r="C77" s="1">
        <v>27</v>
      </c>
      <c r="D77" s="37" t="s">
        <v>155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s="13" customFormat="1" ht="60" x14ac:dyDescent="0.25">
      <c r="A78" s="3" t="s">
        <v>156</v>
      </c>
      <c r="B78" s="1" t="s">
        <v>3</v>
      </c>
      <c r="C78" s="1">
        <v>27</v>
      </c>
      <c r="D78" s="37" t="s">
        <v>157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s="13" customFormat="1" ht="30" x14ac:dyDescent="0.25">
      <c r="A79" s="3" t="s">
        <v>144</v>
      </c>
      <c r="B79" s="1"/>
      <c r="C79" s="1"/>
      <c r="D79" s="37" t="s">
        <v>146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s="13" customFormat="1" ht="30" x14ac:dyDescent="0.25">
      <c r="A80" s="3" t="s">
        <v>148</v>
      </c>
      <c r="B80" s="1"/>
      <c r="C80" s="1"/>
      <c r="D80" s="37" t="s">
        <v>147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s="13" customFormat="1" ht="30" x14ac:dyDescent="0.25">
      <c r="A81" s="3" t="s">
        <v>150</v>
      </c>
      <c r="B81" s="1"/>
      <c r="C81" s="1"/>
      <c r="D81" s="37" t="s">
        <v>149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s="13" customFormat="1" ht="75" x14ac:dyDescent="0.25">
      <c r="A82" s="3" t="s">
        <v>160</v>
      </c>
      <c r="B82" s="1"/>
      <c r="C82" s="1"/>
      <c r="D82" s="37" t="s">
        <v>161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s="13" customFormat="1" ht="75" x14ac:dyDescent="0.25">
      <c r="A83" s="3" t="s">
        <v>181</v>
      </c>
      <c r="B83" s="1"/>
      <c r="C83" s="1"/>
      <c r="D83" s="37" t="s">
        <v>182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s="13" customFormat="1" ht="75" x14ac:dyDescent="0.25">
      <c r="A84" s="3" t="s">
        <v>159</v>
      </c>
      <c r="B84" s="1"/>
      <c r="C84" s="1"/>
      <c r="D84" s="37" t="s">
        <v>158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s="13" customFormat="1" x14ac:dyDescent="0.25">
      <c r="A85" s="3" t="s">
        <v>195</v>
      </c>
      <c r="B85" s="1" t="s">
        <v>196</v>
      </c>
      <c r="C85" s="1" t="s">
        <v>196</v>
      </c>
      <c r="D85" s="37" t="s">
        <v>196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s="13" customFormat="1" ht="90" x14ac:dyDescent="0.25">
      <c r="A86" s="3" t="s">
        <v>162</v>
      </c>
      <c r="B86" s="1"/>
      <c r="C86" s="1"/>
      <c r="D86" s="37" t="s">
        <v>163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s="13" customFormat="1" ht="105" x14ac:dyDescent="0.25">
      <c r="A87" s="3" t="s">
        <v>164</v>
      </c>
      <c r="B87" s="1"/>
      <c r="C87" s="1"/>
      <c r="D87" s="37" t="s">
        <v>166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s="13" customFormat="1" ht="105" x14ac:dyDescent="0.25">
      <c r="A88" s="3" t="s">
        <v>165</v>
      </c>
      <c r="B88" s="1"/>
      <c r="C88" s="1"/>
      <c r="D88" s="37" t="s">
        <v>167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s="13" customFormat="1" ht="105" x14ac:dyDescent="0.25">
      <c r="A89" s="3" t="s">
        <v>168</v>
      </c>
      <c r="B89" s="1"/>
      <c r="C89" s="1"/>
      <c r="D89" s="37" t="s">
        <v>169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s="13" customFormat="1" ht="105" x14ac:dyDescent="0.25">
      <c r="A90" s="3" t="s">
        <v>170</v>
      </c>
      <c r="B90" s="1"/>
      <c r="C90" s="1"/>
      <c r="D90" s="37" t="s">
        <v>171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s="13" customFormat="1" ht="105" x14ac:dyDescent="0.25">
      <c r="A91" s="3" t="s">
        <v>178</v>
      </c>
      <c r="B91" s="1"/>
      <c r="C91" s="1" t="s">
        <v>176</v>
      </c>
      <c r="D91" s="37" t="s">
        <v>171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s="13" customFormat="1" ht="105" x14ac:dyDescent="0.25">
      <c r="A92" s="3" t="s">
        <v>172</v>
      </c>
      <c r="B92" s="1"/>
      <c r="C92" s="1"/>
      <c r="D92" s="37" t="s">
        <v>173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s="13" customFormat="1" ht="105" x14ac:dyDescent="0.25">
      <c r="A93" s="3" t="s">
        <v>174</v>
      </c>
      <c r="B93" s="1"/>
      <c r="C93" s="1"/>
      <c r="D93" s="37" t="s">
        <v>175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s="13" customFormat="1" ht="90" x14ac:dyDescent="0.25">
      <c r="A94" s="10" t="s">
        <v>177</v>
      </c>
      <c r="B94" s="1" t="s">
        <v>179</v>
      </c>
      <c r="C94" s="1"/>
      <c r="D94" s="37" t="s">
        <v>180</v>
      </c>
      <c r="E94" s="1" t="s">
        <v>185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s="13" customFormat="1" ht="105" x14ac:dyDescent="0.25">
      <c r="A95" s="3" t="s">
        <v>183</v>
      </c>
      <c r="B95" s="1" t="s">
        <v>179</v>
      </c>
      <c r="C95" s="1"/>
      <c r="D95" s="37" t="s">
        <v>184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s="13" customFormat="1" ht="45" x14ac:dyDescent="0.25">
      <c r="A96" s="3" t="s">
        <v>186</v>
      </c>
      <c r="B96" s="1"/>
      <c r="C96" s="1"/>
      <c r="D96" s="37" t="s">
        <v>187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s="13" customFormat="1" ht="45" x14ac:dyDescent="0.25">
      <c r="A97" s="3" t="s">
        <v>188</v>
      </c>
      <c r="B97" s="1"/>
      <c r="C97" s="1"/>
      <c r="D97" s="37" t="s">
        <v>189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s="13" customFormat="1" ht="45" x14ac:dyDescent="0.25">
      <c r="A98" s="3" t="s">
        <v>190</v>
      </c>
      <c r="B98" s="1" t="s">
        <v>191</v>
      </c>
      <c r="C98" s="1"/>
      <c r="D98" s="37" t="s">
        <v>189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s="13" customFormat="1" ht="75" x14ac:dyDescent="0.25">
      <c r="A99" s="3" t="s">
        <v>192</v>
      </c>
      <c r="B99" s="1" t="s">
        <v>191</v>
      </c>
      <c r="C99" s="1"/>
      <c r="D99" s="37" t="s">
        <v>193</v>
      </c>
      <c r="E99" s="1" t="s">
        <v>213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s="13" customFormat="1" ht="75" x14ac:dyDescent="0.25">
      <c r="A100" s="3" t="s">
        <v>194</v>
      </c>
      <c r="B100" s="1" t="s">
        <v>191</v>
      </c>
      <c r="C100" s="1"/>
      <c r="D100" s="37" t="s">
        <v>193</v>
      </c>
      <c r="E100" s="1" t="s">
        <v>216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s="13" customFormat="1" ht="105" x14ac:dyDescent="0.25">
      <c r="A101" s="3" t="s">
        <v>197</v>
      </c>
      <c r="B101" s="1" t="s">
        <v>179</v>
      </c>
      <c r="C101" s="1"/>
      <c r="D101" s="37" t="s">
        <v>198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s="13" customFormat="1" ht="60" x14ac:dyDescent="0.25">
      <c r="A102" s="3" t="s">
        <v>225</v>
      </c>
      <c r="B102" s="1" t="s">
        <v>179</v>
      </c>
      <c r="C102" s="1"/>
      <c r="D102" s="37" t="s">
        <v>227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s="13" customFormat="1" ht="75" x14ac:dyDescent="0.25">
      <c r="A103" s="1">
        <v>15.1</v>
      </c>
      <c r="B103" s="1" t="s">
        <v>179</v>
      </c>
      <c r="C103" s="1"/>
      <c r="D103" s="37" t="s">
        <v>199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s="13" customFormat="1" x14ac:dyDescent="0.25">
      <c r="A104" s="1">
        <v>16</v>
      </c>
      <c r="B104" s="1" t="s">
        <v>200</v>
      </c>
      <c r="C104" s="1"/>
      <c r="D104" s="7" t="s">
        <v>201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s="13" customFormat="1" x14ac:dyDescent="0.25">
      <c r="A105" s="1">
        <v>16.100000000000001</v>
      </c>
      <c r="B105" s="1" t="s">
        <v>179</v>
      </c>
      <c r="C105" s="1"/>
      <c r="D105" s="7" t="s">
        <v>201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s="13" customFormat="1" x14ac:dyDescent="0.25">
      <c r="A106" s="1">
        <v>17</v>
      </c>
      <c r="B106" s="1" t="s">
        <v>200</v>
      </c>
      <c r="C106" s="1"/>
      <c r="D106" s="7" t="s">
        <v>202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s="13" customFormat="1" ht="60" x14ac:dyDescent="0.25">
      <c r="A107" s="1">
        <v>17.100000000000001</v>
      </c>
      <c r="B107" s="1" t="s">
        <v>179</v>
      </c>
      <c r="C107" s="1"/>
      <c r="D107" s="37" t="s">
        <v>205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s="13" customFormat="1" ht="60" x14ac:dyDescent="0.25">
      <c r="A108" s="1" t="s">
        <v>206</v>
      </c>
      <c r="B108" s="1" t="s">
        <v>179</v>
      </c>
      <c r="C108" s="1"/>
      <c r="D108" s="37" t="s">
        <v>205</v>
      </c>
      <c r="E108" s="1" t="s">
        <v>207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s="13" customFormat="1" ht="45" x14ac:dyDescent="0.25">
      <c r="A109" s="1" t="s">
        <v>203</v>
      </c>
      <c r="B109" s="1" t="s">
        <v>200</v>
      </c>
      <c r="C109" s="1"/>
      <c r="D109" s="37" t="s">
        <v>204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s="13" customFormat="1" x14ac:dyDescent="0.25">
      <c r="A110" s="1">
        <v>18.100000000000001</v>
      </c>
      <c r="B110" s="1" t="s">
        <v>179</v>
      </c>
      <c r="C110" s="1" t="s">
        <v>209</v>
      </c>
      <c r="D110" s="37" t="s">
        <v>210</v>
      </c>
    </row>
    <row r="111" spans="1:17" s="13" customFormat="1" x14ac:dyDescent="0.25">
      <c r="A111" s="1" t="s">
        <v>211</v>
      </c>
      <c r="B111" s="1" t="s">
        <v>179</v>
      </c>
      <c r="C111" s="1">
        <v>0.4</v>
      </c>
      <c r="D111" s="37" t="s">
        <v>210</v>
      </c>
      <c r="E111" s="1" t="s">
        <v>212</v>
      </c>
    </row>
    <row r="112" spans="1:17" s="13" customFormat="1" x14ac:dyDescent="0.25">
      <c r="A112" s="1">
        <v>18.2</v>
      </c>
      <c r="B112" s="1" t="s">
        <v>179</v>
      </c>
      <c r="C112" s="1" t="s">
        <v>208</v>
      </c>
      <c r="D112" s="7" t="s">
        <v>214</v>
      </c>
      <c r="E112" s="1" t="s">
        <v>215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s="13" customFormat="1" ht="60" x14ac:dyDescent="0.25">
      <c r="A113" s="1">
        <v>18.399999999999999</v>
      </c>
      <c r="B113" s="1" t="s">
        <v>179</v>
      </c>
      <c r="C113" s="1" t="s">
        <v>209</v>
      </c>
      <c r="D113" s="37" t="s">
        <v>217</v>
      </c>
      <c r="E113" s="1" t="s">
        <v>215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s="13" customFormat="1" x14ac:dyDescent="0.25">
      <c r="A114" s="1"/>
      <c r="B114" s="1"/>
      <c r="C114" s="1"/>
      <c r="D114" s="3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s="13" customFormat="1" x14ac:dyDescent="0.25">
      <c r="A115" s="1">
        <v>18.5</v>
      </c>
      <c r="B115" s="1" t="s">
        <v>179</v>
      </c>
      <c r="C115" s="1" t="s">
        <v>209</v>
      </c>
      <c r="D115" s="7" t="s">
        <v>219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s="13" customFormat="1" x14ac:dyDescent="0.25">
      <c r="A116" s="1" t="s">
        <v>224</v>
      </c>
      <c r="B116" s="1" t="s">
        <v>179</v>
      </c>
      <c r="C116" s="1" t="s">
        <v>209</v>
      </c>
      <c r="D116" s="7" t="s">
        <v>226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s="13" customFormat="1" ht="270" x14ac:dyDescent="0.25">
      <c r="A117" s="1" t="s">
        <v>221</v>
      </c>
      <c r="B117" s="1" t="s">
        <v>179</v>
      </c>
      <c r="C117" s="1" t="s">
        <v>209</v>
      </c>
      <c r="D117" s="37" t="s">
        <v>223</v>
      </c>
      <c r="E117" s="2" t="s">
        <v>222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s="13" customFormat="1" ht="60" x14ac:dyDescent="0.25">
      <c r="A118" s="1" t="s">
        <v>228</v>
      </c>
      <c r="B118" s="1" t="s">
        <v>179</v>
      </c>
      <c r="C118" s="1" t="s">
        <v>209</v>
      </c>
      <c r="D118" s="37" t="s">
        <v>229</v>
      </c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s="13" customFormat="1" x14ac:dyDescent="0.25">
      <c r="A119" s="1"/>
      <c r="B119" s="1"/>
      <c r="C119" s="1"/>
      <c r="D119" s="37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s="13" customFormat="1" ht="45" x14ac:dyDescent="0.25">
      <c r="A120" s="1">
        <v>19.100000000000001</v>
      </c>
      <c r="B120" s="1" t="s">
        <v>218</v>
      </c>
      <c r="C120" s="1" t="s">
        <v>209</v>
      </c>
      <c r="D120" s="37" t="s">
        <v>220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s="13" customFormat="1" x14ac:dyDescent="0.25">
      <c r="A121" s="1" t="s">
        <v>231</v>
      </c>
      <c r="B121" s="1" t="s">
        <v>218</v>
      </c>
      <c r="C121" s="1" t="s">
        <v>209</v>
      </c>
      <c r="D121" s="7" t="s">
        <v>230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s="13" customFormat="1" x14ac:dyDescent="0.25">
      <c r="A122" s="1" t="s">
        <v>232</v>
      </c>
      <c r="B122" s="1" t="s">
        <v>218</v>
      </c>
      <c r="C122" s="1" t="s">
        <v>209</v>
      </c>
      <c r="D122" s="7" t="s">
        <v>230</v>
      </c>
    </row>
    <row r="123" spans="1:17" s="13" customFormat="1" ht="60" x14ac:dyDescent="0.25">
      <c r="A123" s="1" t="s">
        <v>233</v>
      </c>
      <c r="B123" s="1" t="s">
        <v>240</v>
      </c>
      <c r="C123" s="1" t="s">
        <v>209</v>
      </c>
      <c r="D123" s="37" t="s">
        <v>243</v>
      </c>
      <c r="E123" s="1" t="s">
        <v>239</v>
      </c>
    </row>
    <row r="124" spans="1:17" s="13" customFormat="1" ht="60" x14ac:dyDescent="0.25">
      <c r="A124" s="1" t="s">
        <v>234</v>
      </c>
      <c r="B124" s="1" t="s">
        <v>240</v>
      </c>
      <c r="C124" s="1" t="s">
        <v>209</v>
      </c>
      <c r="D124" s="37" t="s">
        <v>242</v>
      </c>
      <c r="E124" s="1" t="s">
        <v>239</v>
      </c>
    </row>
    <row r="125" spans="1:17" s="13" customFormat="1" ht="30" x14ac:dyDescent="0.25">
      <c r="A125" s="1" t="s">
        <v>237</v>
      </c>
      <c r="B125" s="1" t="s">
        <v>240</v>
      </c>
      <c r="C125" s="1"/>
      <c r="D125" s="37" t="s">
        <v>238</v>
      </c>
      <c r="E125" s="1" t="s">
        <v>239</v>
      </c>
    </row>
    <row r="126" spans="1:17" s="13" customFormat="1" ht="60" x14ac:dyDescent="0.25">
      <c r="A126" s="1" t="s">
        <v>235</v>
      </c>
      <c r="B126" s="1" t="s">
        <v>240</v>
      </c>
      <c r="C126" s="1" t="s">
        <v>209</v>
      </c>
      <c r="D126" s="37" t="s">
        <v>241</v>
      </c>
      <c r="E126" s="1" t="s">
        <v>239</v>
      </c>
    </row>
    <row r="127" spans="1:17" s="13" customFormat="1" ht="45" x14ac:dyDescent="0.25">
      <c r="A127" s="1" t="s">
        <v>236</v>
      </c>
      <c r="B127" s="1" t="s">
        <v>240</v>
      </c>
      <c r="C127" s="1" t="s">
        <v>209</v>
      </c>
      <c r="D127" s="37" t="s">
        <v>220</v>
      </c>
    </row>
    <row r="128" spans="1:17" s="13" customFormat="1" ht="105" x14ac:dyDescent="0.25">
      <c r="A128" s="1" t="s">
        <v>245</v>
      </c>
      <c r="B128" s="1" t="s">
        <v>179</v>
      </c>
      <c r="D128" s="25" t="s">
        <v>249</v>
      </c>
      <c r="E128" s="2" t="s">
        <v>253</v>
      </c>
    </row>
    <row r="129" spans="1:5" s="13" customFormat="1" ht="45" x14ac:dyDescent="0.25">
      <c r="A129" s="1" t="s">
        <v>248</v>
      </c>
      <c r="B129" s="1" t="s">
        <v>179</v>
      </c>
      <c r="D129" s="25" t="s">
        <v>250</v>
      </c>
      <c r="E129" s="2" t="s">
        <v>254</v>
      </c>
    </row>
    <row r="130" spans="1:5" s="13" customFormat="1" ht="45" x14ac:dyDescent="0.25">
      <c r="A130" s="1" t="s">
        <v>251</v>
      </c>
      <c r="B130" s="1" t="s">
        <v>3</v>
      </c>
      <c r="D130" s="25" t="s">
        <v>250</v>
      </c>
      <c r="E130" s="1" t="s">
        <v>252</v>
      </c>
    </row>
    <row r="131" spans="1:5" s="13" customFormat="1" ht="150" x14ac:dyDescent="0.25">
      <c r="A131" s="1" t="s">
        <v>246</v>
      </c>
      <c r="B131" s="1" t="s">
        <v>179</v>
      </c>
      <c r="D131" s="25" t="s">
        <v>247</v>
      </c>
      <c r="E131" s="1" t="s">
        <v>244</v>
      </c>
    </row>
    <row r="132" spans="1:5" s="13" customFormat="1" ht="75" x14ac:dyDescent="0.25">
      <c r="A132" s="1" t="s">
        <v>255</v>
      </c>
      <c r="B132" s="1" t="s">
        <v>179</v>
      </c>
      <c r="D132" s="25" t="s">
        <v>256</v>
      </c>
      <c r="E132" s="2" t="s">
        <v>259</v>
      </c>
    </row>
    <row r="133" spans="1:5" s="13" customFormat="1" ht="120" x14ac:dyDescent="0.25">
      <c r="A133" s="13" t="s">
        <v>257</v>
      </c>
      <c r="B133" s="13" t="s">
        <v>265</v>
      </c>
      <c r="D133" s="25" t="s">
        <v>258</v>
      </c>
      <c r="E133" s="12" t="s">
        <v>262</v>
      </c>
    </row>
    <row r="134" spans="1:5" s="13" customFormat="1" ht="45" x14ac:dyDescent="0.25">
      <c r="A134" s="13" t="s">
        <v>270</v>
      </c>
      <c r="B134" s="13" t="s">
        <v>265</v>
      </c>
      <c r="D134" s="25" t="s">
        <v>258</v>
      </c>
      <c r="E134" s="12" t="s">
        <v>271</v>
      </c>
    </row>
    <row r="135" spans="1:5" s="13" customFormat="1" ht="45" x14ac:dyDescent="0.25">
      <c r="A135" s="13" t="s">
        <v>263</v>
      </c>
      <c r="B135" s="13" t="s">
        <v>265</v>
      </c>
      <c r="D135" s="25" t="s">
        <v>264</v>
      </c>
      <c r="E135" s="12"/>
    </row>
    <row r="136" spans="1:5" s="13" customFormat="1" ht="75" x14ac:dyDescent="0.25">
      <c r="A136" s="13" t="s">
        <v>267</v>
      </c>
      <c r="B136" s="13" t="s">
        <v>265</v>
      </c>
      <c r="D136" s="25" t="s">
        <v>266</v>
      </c>
      <c r="E136" s="12" t="s">
        <v>268</v>
      </c>
    </row>
    <row r="137" spans="1:5" s="13" customFormat="1" ht="45" x14ac:dyDescent="0.25">
      <c r="A137" s="13" t="s">
        <v>261</v>
      </c>
      <c r="B137" s="13" t="s">
        <v>265</v>
      </c>
      <c r="D137" s="25" t="s">
        <v>260</v>
      </c>
      <c r="E137" s="13" t="s">
        <v>269</v>
      </c>
    </row>
    <row r="138" spans="1:5" s="13" customFormat="1" ht="30" x14ac:dyDescent="0.25">
      <c r="A138" s="13" t="s">
        <v>272</v>
      </c>
      <c r="B138" s="1" t="s">
        <v>273</v>
      </c>
      <c r="D138" s="25" t="s">
        <v>275</v>
      </c>
    </row>
    <row r="139" spans="1:5" s="13" customFormat="1" ht="30" x14ac:dyDescent="0.25">
      <c r="A139" s="13" t="s">
        <v>274</v>
      </c>
      <c r="B139" s="1" t="s">
        <v>273</v>
      </c>
      <c r="D139" s="25" t="s">
        <v>276</v>
      </c>
    </row>
    <row r="140" spans="1:5" s="13" customFormat="1" ht="60" x14ac:dyDescent="0.25">
      <c r="A140" s="13" t="s">
        <v>277</v>
      </c>
      <c r="B140" s="1" t="s">
        <v>273</v>
      </c>
      <c r="D140" s="25" t="s">
        <v>276</v>
      </c>
      <c r="E140" s="12" t="s">
        <v>278</v>
      </c>
    </row>
    <row r="141" spans="1:5" s="13" customFormat="1" ht="90" x14ac:dyDescent="0.25">
      <c r="A141" s="13" t="s">
        <v>279</v>
      </c>
      <c r="B141" s="12" t="s">
        <v>284</v>
      </c>
      <c r="D141" s="25" t="s">
        <v>260</v>
      </c>
      <c r="E141" s="13" t="s">
        <v>282</v>
      </c>
    </row>
    <row r="142" spans="1:5" s="13" customFormat="1" ht="45" x14ac:dyDescent="0.25">
      <c r="A142" s="13" t="s">
        <v>280</v>
      </c>
      <c r="B142" s="12" t="s">
        <v>281</v>
      </c>
      <c r="D142" s="25" t="s">
        <v>258</v>
      </c>
      <c r="E142" s="13" t="s">
        <v>283</v>
      </c>
    </row>
    <row r="143" spans="1:5" s="13" customFormat="1" ht="45" x14ac:dyDescent="0.25">
      <c r="A143" s="13" t="s">
        <v>285</v>
      </c>
      <c r="B143" s="12" t="s">
        <v>281</v>
      </c>
      <c r="D143" s="25" t="s">
        <v>297</v>
      </c>
    </row>
    <row r="144" spans="1:5" s="13" customFormat="1" ht="45" x14ac:dyDescent="0.25">
      <c r="A144" s="13" t="s">
        <v>286</v>
      </c>
      <c r="B144" s="12" t="s">
        <v>281</v>
      </c>
      <c r="D144" s="25" t="s">
        <v>287</v>
      </c>
      <c r="E144" s="13" t="s">
        <v>290</v>
      </c>
    </row>
    <row r="145" spans="1:5" s="13" customFormat="1" ht="45" x14ac:dyDescent="0.25">
      <c r="A145" s="13" t="s">
        <v>288</v>
      </c>
      <c r="B145" s="12" t="s">
        <v>289</v>
      </c>
      <c r="D145" s="25" t="s">
        <v>287</v>
      </c>
      <c r="E145" s="13" t="s">
        <v>291</v>
      </c>
    </row>
    <row r="146" spans="1:5" s="13" customFormat="1" ht="105" x14ac:dyDescent="0.25">
      <c r="A146" s="13" t="s">
        <v>292</v>
      </c>
      <c r="B146" s="12" t="s">
        <v>281</v>
      </c>
      <c r="D146" s="25" t="s">
        <v>293</v>
      </c>
      <c r="E146" s="13" t="s">
        <v>290</v>
      </c>
    </row>
    <row r="147" spans="1:5" s="13" customFormat="1" ht="30" x14ac:dyDescent="0.25">
      <c r="A147" s="13" t="s">
        <v>294</v>
      </c>
      <c r="B147" s="12" t="s">
        <v>296</v>
      </c>
      <c r="D147" s="25" t="s">
        <v>295</v>
      </c>
    </row>
    <row r="148" spans="1:5" s="13" customFormat="1" ht="60" x14ac:dyDescent="0.25">
      <c r="A148" s="13" t="s">
        <v>300</v>
      </c>
      <c r="B148" s="12" t="s">
        <v>281</v>
      </c>
      <c r="D148" s="25" t="s">
        <v>301</v>
      </c>
    </row>
    <row r="149" spans="1:5" s="13" customFormat="1" ht="30" x14ac:dyDescent="0.25">
      <c r="A149" s="13" t="s">
        <v>302</v>
      </c>
      <c r="B149" s="12" t="s">
        <v>281</v>
      </c>
      <c r="D149" s="25" t="s">
        <v>303</v>
      </c>
    </row>
    <row r="150" spans="1:5" s="13" customFormat="1" x14ac:dyDescent="0.25">
      <c r="A150" s="13" t="s">
        <v>299</v>
      </c>
      <c r="B150" s="12" t="s">
        <v>281</v>
      </c>
      <c r="D150" s="25" t="s">
        <v>298</v>
      </c>
    </row>
    <row r="151" spans="1:5" s="13" customFormat="1" ht="30" x14ac:dyDescent="0.25">
      <c r="A151" s="13" t="s">
        <v>305</v>
      </c>
      <c r="B151" s="12" t="s">
        <v>281</v>
      </c>
      <c r="D151" s="25" t="s">
        <v>304</v>
      </c>
    </row>
    <row r="152" spans="1:5" s="13" customFormat="1" ht="30" x14ac:dyDescent="0.25">
      <c r="A152" s="13" t="s">
        <v>306</v>
      </c>
      <c r="B152" s="12" t="s">
        <v>281</v>
      </c>
      <c r="D152" s="25" t="s">
        <v>295</v>
      </c>
    </row>
    <row r="153" spans="1:5" s="13" customFormat="1" ht="30" x14ac:dyDescent="0.25">
      <c r="A153" s="13" t="s">
        <v>307</v>
      </c>
      <c r="B153" s="12" t="s">
        <v>281</v>
      </c>
      <c r="D153" s="25" t="s">
        <v>303</v>
      </c>
    </row>
    <row r="154" spans="1:5" s="13" customFormat="1" ht="30" x14ac:dyDescent="0.25">
      <c r="A154" s="13" t="s">
        <v>306</v>
      </c>
      <c r="B154" s="12" t="s">
        <v>310</v>
      </c>
      <c r="D154" s="25" t="s">
        <v>295</v>
      </c>
    </row>
    <row r="155" spans="1:5" s="13" customFormat="1" x14ac:dyDescent="0.25">
      <c r="B155" s="12" t="s">
        <v>311</v>
      </c>
      <c r="D155" s="14"/>
    </row>
    <row r="156" spans="1:5" s="13" customFormat="1" ht="45" x14ac:dyDescent="0.25">
      <c r="A156" s="13" t="s">
        <v>312</v>
      </c>
      <c r="B156" s="12" t="s">
        <v>310</v>
      </c>
      <c r="D156" s="25" t="s">
        <v>322</v>
      </c>
      <c r="E156" s="13" t="s">
        <v>313</v>
      </c>
    </row>
    <row r="157" spans="1:5" s="13" customFormat="1" ht="165" x14ac:dyDescent="0.25">
      <c r="A157" s="13" t="s">
        <v>314</v>
      </c>
      <c r="B157" s="12" t="s">
        <v>310</v>
      </c>
      <c r="D157" s="25" t="s">
        <v>320</v>
      </c>
      <c r="E157" s="13" t="s">
        <v>313</v>
      </c>
    </row>
    <row r="158" spans="1:5" s="13" customFormat="1" ht="150" x14ac:dyDescent="0.25">
      <c r="A158" s="13" t="s">
        <v>315</v>
      </c>
      <c r="B158" s="12" t="s">
        <v>310</v>
      </c>
      <c r="D158" s="25" t="s">
        <v>319</v>
      </c>
    </row>
    <row r="159" spans="1:5" s="13" customFormat="1" ht="300" x14ac:dyDescent="0.25">
      <c r="A159" s="13" t="s">
        <v>316</v>
      </c>
      <c r="B159" s="12" t="s">
        <v>310</v>
      </c>
      <c r="D159" s="25" t="s">
        <v>321</v>
      </c>
    </row>
    <row r="160" spans="1:5" s="13" customFormat="1" ht="30" x14ac:dyDescent="0.25">
      <c r="A160" s="13" t="s">
        <v>317</v>
      </c>
      <c r="B160" s="12" t="s">
        <v>310</v>
      </c>
      <c r="D160" s="25" t="s">
        <v>318</v>
      </c>
    </row>
    <row r="161" spans="1:4" s="13" customFormat="1" ht="75" x14ac:dyDescent="0.25">
      <c r="A161" s="13" t="s">
        <v>323</v>
      </c>
      <c r="B161" s="12" t="s">
        <v>310</v>
      </c>
      <c r="D161" s="25" t="s">
        <v>324</v>
      </c>
    </row>
    <row r="162" spans="1:4" s="13" customFormat="1" ht="60" x14ac:dyDescent="0.25">
      <c r="A162" s="13" t="s">
        <v>329</v>
      </c>
      <c r="B162" s="12" t="s">
        <v>310</v>
      </c>
      <c r="D162" s="25" t="s">
        <v>330</v>
      </c>
    </row>
    <row r="163" spans="1:4" s="13" customFormat="1" ht="75" x14ac:dyDescent="0.25">
      <c r="A163" s="13" t="s">
        <v>325</v>
      </c>
      <c r="B163" s="12" t="s">
        <v>310</v>
      </c>
      <c r="D163" s="25" t="s">
        <v>326</v>
      </c>
    </row>
    <row r="164" spans="1:4" s="13" customFormat="1" ht="75" x14ac:dyDescent="0.25">
      <c r="A164" s="13" t="s">
        <v>328</v>
      </c>
      <c r="B164" s="12" t="s">
        <v>310</v>
      </c>
      <c r="D164" s="25" t="s">
        <v>327</v>
      </c>
    </row>
    <row r="165" spans="1:4" s="13" customFormat="1" ht="60" x14ac:dyDescent="0.25">
      <c r="A165" s="13" t="s">
        <v>331</v>
      </c>
      <c r="B165" s="12" t="s">
        <v>310</v>
      </c>
      <c r="D165" s="25" t="s">
        <v>332</v>
      </c>
    </row>
    <row r="166" spans="1:4" s="13" customFormat="1" ht="30" x14ac:dyDescent="0.25">
      <c r="A166" s="13" t="s">
        <v>334</v>
      </c>
      <c r="B166" s="12" t="s">
        <v>310</v>
      </c>
      <c r="D166" s="25" t="s">
        <v>335</v>
      </c>
    </row>
    <row r="167" spans="1:4" s="13" customFormat="1" x14ac:dyDescent="0.25">
      <c r="A167" s="13" t="s">
        <v>333</v>
      </c>
      <c r="B167" s="12" t="s">
        <v>310</v>
      </c>
      <c r="D167" s="25" t="s">
        <v>337</v>
      </c>
    </row>
    <row r="168" spans="1:4" s="13" customFormat="1" ht="30" x14ac:dyDescent="0.25">
      <c r="A168" s="13" t="s">
        <v>336</v>
      </c>
      <c r="B168" s="12" t="s">
        <v>310</v>
      </c>
      <c r="D168" s="25" t="s">
        <v>338</v>
      </c>
    </row>
    <row r="169" spans="1:4" s="13" customFormat="1" ht="60" x14ac:dyDescent="0.25">
      <c r="A169" s="13" t="s">
        <v>339</v>
      </c>
      <c r="B169" s="12" t="s">
        <v>310</v>
      </c>
      <c r="D169" s="25" t="s">
        <v>340</v>
      </c>
    </row>
    <row r="170" spans="1:4" s="13" customFormat="1" x14ac:dyDescent="0.25">
      <c r="A170" s="14" t="s">
        <v>341</v>
      </c>
      <c r="B170" s="12" t="s">
        <v>310</v>
      </c>
      <c r="D170" s="14" t="s">
        <v>344</v>
      </c>
    </row>
    <row r="171" spans="1:4" s="13" customFormat="1" x14ac:dyDescent="0.25">
      <c r="A171" s="14" t="s">
        <v>342</v>
      </c>
      <c r="B171" s="12" t="s">
        <v>310</v>
      </c>
      <c r="D171" s="14" t="s">
        <v>343</v>
      </c>
    </row>
    <row r="172" spans="1:4" s="13" customFormat="1" x14ac:dyDescent="0.25">
      <c r="A172" s="14" t="s">
        <v>346</v>
      </c>
      <c r="B172" s="12" t="s">
        <v>310</v>
      </c>
      <c r="D172" s="14" t="s">
        <v>345</v>
      </c>
    </row>
    <row r="173" spans="1:4" s="13" customFormat="1" x14ac:dyDescent="0.25">
      <c r="A173" s="14" t="s">
        <v>357</v>
      </c>
      <c r="B173" s="12"/>
      <c r="D173" s="14"/>
    </row>
    <row r="174" spans="1:4" s="13" customFormat="1" ht="60" x14ac:dyDescent="0.25">
      <c r="A174" s="15" t="s">
        <v>349</v>
      </c>
      <c r="B174" s="12" t="s">
        <v>310</v>
      </c>
      <c r="D174" s="25" t="s">
        <v>369</v>
      </c>
    </row>
    <row r="175" spans="1:4" s="13" customFormat="1" ht="45" x14ac:dyDescent="0.25">
      <c r="A175" s="15" t="s">
        <v>351</v>
      </c>
      <c r="B175" s="12" t="s">
        <v>310</v>
      </c>
      <c r="D175" s="25" t="s">
        <v>358</v>
      </c>
    </row>
    <row r="176" spans="1:4" s="13" customFormat="1" ht="30" x14ac:dyDescent="0.25">
      <c r="A176" s="15" t="s">
        <v>360</v>
      </c>
      <c r="B176" s="12" t="s">
        <v>359</v>
      </c>
      <c r="D176" s="25" t="s">
        <v>354</v>
      </c>
    </row>
    <row r="177" spans="1:5" s="13" customFormat="1" x14ac:dyDescent="0.25">
      <c r="A177" s="16" t="s">
        <v>347</v>
      </c>
      <c r="B177" s="17" t="s">
        <v>310</v>
      </c>
      <c r="C177" s="18"/>
      <c r="D177" s="16" t="s">
        <v>348</v>
      </c>
    </row>
    <row r="178" spans="1:5" s="13" customFormat="1" x14ac:dyDescent="0.25">
      <c r="A178" s="15" t="s">
        <v>356</v>
      </c>
      <c r="B178" s="12" t="s">
        <v>310</v>
      </c>
      <c r="D178" s="14" t="s">
        <v>368</v>
      </c>
    </row>
    <row r="179" spans="1:5" s="13" customFormat="1" ht="30" x14ac:dyDescent="0.25">
      <c r="A179" s="15" t="s">
        <v>353</v>
      </c>
      <c r="B179" s="12" t="s">
        <v>310</v>
      </c>
      <c r="D179" s="25" t="s">
        <v>355</v>
      </c>
    </row>
    <row r="180" spans="1:5" s="13" customFormat="1" ht="30" x14ac:dyDescent="0.25">
      <c r="A180" s="15" t="s">
        <v>350</v>
      </c>
      <c r="B180" s="12" t="s">
        <v>310</v>
      </c>
      <c r="D180" s="25" t="s">
        <v>352</v>
      </c>
    </row>
    <row r="181" spans="1:5" s="13" customFormat="1" ht="60" x14ac:dyDescent="0.25">
      <c r="A181" s="13" t="s">
        <v>363</v>
      </c>
      <c r="B181" s="12" t="s">
        <v>310</v>
      </c>
      <c r="D181" s="25" t="s">
        <v>367</v>
      </c>
    </row>
    <row r="182" spans="1:5" s="13" customFormat="1" ht="45" x14ac:dyDescent="0.25">
      <c r="A182" s="13" t="s">
        <v>366</v>
      </c>
      <c r="B182" s="12" t="s">
        <v>364</v>
      </c>
      <c r="D182" s="25" t="s">
        <v>370</v>
      </c>
    </row>
    <row r="183" spans="1:5" s="13" customFormat="1" x14ac:dyDescent="0.25">
      <c r="A183" s="13" t="s">
        <v>371</v>
      </c>
      <c r="B183" s="12" t="s">
        <v>364</v>
      </c>
      <c r="D183" s="14" t="s">
        <v>372</v>
      </c>
    </row>
    <row r="184" spans="1:5" s="13" customFormat="1" ht="75" x14ac:dyDescent="0.25">
      <c r="A184" s="13" t="s">
        <v>373</v>
      </c>
      <c r="B184" s="12" t="s">
        <v>364</v>
      </c>
      <c r="D184" s="25" t="s">
        <v>376</v>
      </c>
    </row>
    <row r="185" spans="1:5" s="13" customFormat="1" ht="90" x14ac:dyDescent="0.25">
      <c r="A185" s="13" t="s">
        <v>377</v>
      </c>
      <c r="B185" s="12" t="s">
        <v>364</v>
      </c>
      <c r="D185" s="25" t="s">
        <v>378</v>
      </c>
    </row>
    <row r="186" spans="1:5" s="13" customFormat="1" x14ac:dyDescent="0.25">
      <c r="A186" s="14" t="s">
        <v>379</v>
      </c>
      <c r="B186" s="12" t="s">
        <v>380</v>
      </c>
      <c r="D186" s="25" t="s">
        <v>381</v>
      </c>
    </row>
    <row r="187" spans="1:5" s="13" customFormat="1" x14ac:dyDescent="0.25">
      <c r="A187" s="13" t="s">
        <v>382</v>
      </c>
      <c r="B187" s="12" t="s">
        <v>383</v>
      </c>
      <c r="D187" s="25" t="s">
        <v>381</v>
      </c>
    </row>
    <row r="188" spans="1:5" s="13" customFormat="1" x14ac:dyDescent="0.25">
      <c r="A188" s="14" t="s">
        <v>384</v>
      </c>
      <c r="B188" s="12" t="s">
        <v>380</v>
      </c>
      <c r="D188" s="14" t="s">
        <v>385</v>
      </c>
    </row>
    <row r="189" spans="1:5" s="13" customFormat="1" x14ac:dyDescent="0.25">
      <c r="B189" s="12" t="s">
        <v>380</v>
      </c>
      <c r="D189" s="14"/>
    </row>
    <row r="190" spans="1:5" s="13" customFormat="1" x14ac:dyDescent="0.25">
      <c r="A190" s="15" t="s">
        <v>523</v>
      </c>
      <c r="B190" s="12" t="s">
        <v>386</v>
      </c>
      <c r="D190" s="14" t="s">
        <v>389</v>
      </c>
      <c r="E190" s="13" t="s">
        <v>391</v>
      </c>
    </row>
    <row r="191" spans="1:5" s="13" customFormat="1" x14ac:dyDescent="0.25">
      <c r="A191" s="12" t="s">
        <v>551</v>
      </c>
      <c r="B191" s="12" t="s">
        <v>386</v>
      </c>
      <c r="D191" s="14" t="s">
        <v>389</v>
      </c>
      <c r="E191" s="13" t="s">
        <v>552</v>
      </c>
    </row>
    <row r="192" spans="1:5" s="13" customFormat="1" x14ac:dyDescent="0.25">
      <c r="A192" s="15" t="s">
        <v>524</v>
      </c>
      <c r="B192" s="12" t="s">
        <v>386</v>
      </c>
      <c r="D192" s="14" t="s">
        <v>388</v>
      </c>
      <c r="E192" s="13" t="s">
        <v>392</v>
      </c>
    </row>
    <row r="193" spans="1:5" s="13" customFormat="1" ht="30" x14ac:dyDescent="0.25">
      <c r="A193" s="24" t="s">
        <v>521</v>
      </c>
      <c r="B193" s="12" t="s">
        <v>390</v>
      </c>
      <c r="D193" s="14" t="s">
        <v>389</v>
      </c>
      <c r="E193" s="12" t="s">
        <v>393</v>
      </c>
    </row>
    <row r="194" spans="1:5" s="13" customFormat="1" x14ac:dyDescent="0.25">
      <c r="A194" s="18" t="s">
        <v>404</v>
      </c>
      <c r="B194" s="12" t="s">
        <v>405</v>
      </c>
      <c r="D194" s="14" t="s">
        <v>389</v>
      </c>
      <c r="E194" s="12"/>
    </row>
    <row r="195" spans="1:5" s="13" customFormat="1" ht="30" x14ac:dyDescent="0.25">
      <c r="A195" s="24" t="s">
        <v>522</v>
      </c>
      <c r="B195" s="12" t="s">
        <v>390</v>
      </c>
      <c r="D195" s="14" t="s">
        <v>388</v>
      </c>
      <c r="E195" s="12" t="s">
        <v>394</v>
      </c>
    </row>
    <row r="196" spans="1:5" s="13" customFormat="1" x14ac:dyDescent="0.25">
      <c r="A196" s="24" t="s">
        <v>525</v>
      </c>
      <c r="B196" s="12" t="s">
        <v>390</v>
      </c>
      <c r="D196" s="14" t="s">
        <v>388</v>
      </c>
      <c r="E196" s="12"/>
    </row>
    <row r="197" spans="1:5" s="13" customFormat="1" x14ac:dyDescent="0.25">
      <c r="A197" s="13" t="s">
        <v>559</v>
      </c>
      <c r="B197" s="12" t="s">
        <v>390</v>
      </c>
      <c r="D197" s="14" t="s">
        <v>389</v>
      </c>
      <c r="E197" s="12" t="s">
        <v>560</v>
      </c>
    </row>
    <row r="198" spans="1:5" s="13" customFormat="1" ht="30" x14ac:dyDescent="0.25">
      <c r="A198" s="13" t="s">
        <v>561</v>
      </c>
      <c r="B198" s="12" t="s">
        <v>390</v>
      </c>
      <c r="D198" s="25" t="s">
        <v>550</v>
      </c>
      <c r="E198" s="12"/>
    </row>
    <row r="199" spans="1:5" s="13" customFormat="1" x14ac:dyDescent="0.25">
      <c r="A199" s="24"/>
      <c r="B199" s="12"/>
      <c r="D199" s="14" t="s">
        <v>562</v>
      </c>
      <c r="E199" s="12"/>
    </row>
    <row r="200" spans="1:5" s="13" customFormat="1" x14ac:dyDescent="0.25">
      <c r="A200" s="13" t="s">
        <v>396</v>
      </c>
      <c r="B200" s="12" t="s">
        <v>395</v>
      </c>
      <c r="D200" s="14" t="s">
        <v>389</v>
      </c>
    </row>
    <row r="201" spans="1:5" s="13" customFormat="1" x14ac:dyDescent="0.25">
      <c r="A201" s="13" t="s">
        <v>397</v>
      </c>
      <c r="B201" s="12" t="s">
        <v>395</v>
      </c>
      <c r="D201" s="14" t="s">
        <v>388</v>
      </c>
    </row>
    <row r="202" spans="1:5" s="13" customFormat="1" x14ac:dyDescent="0.25">
      <c r="A202" s="13" t="s">
        <v>400</v>
      </c>
      <c r="B202" s="12" t="s">
        <v>398</v>
      </c>
      <c r="D202" s="14" t="s">
        <v>389</v>
      </c>
    </row>
    <row r="203" spans="1:5" s="13" customFormat="1" x14ac:dyDescent="0.25">
      <c r="A203" s="13" t="s">
        <v>401</v>
      </c>
      <c r="B203" s="12" t="s">
        <v>402</v>
      </c>
      <c r="D203" s="14" t="s">
        <v>389</v>
      </c>
    </row>
    <row r="204" spans="1:5" s="13" customFormat="1" x14ac:dyDescent="0.25">
      <c r="A204" s="13" t="s">
        <v>517</v>
      </c>
      <c r="B204" s="13" t="s">
        <v>513</v>
      </c>
      <c r="D204" s="14" t="s">
        <v>389</v>
      </c>
    </row>
    <row r="205" spans="1:5" s="13" customFormat="1" x14ac:dyDescent="0.25">
      <c r="A205" s="13" t="s">
        <v>516</v>
      </c>
      <c r="B205" s="13" t="s">
        <v>514</v>
      </c>
      <c r="D205" s="14" t="s">
        <v>389</v>
      </c>
      <c r="E205" s="13" t="s">
        <v>556</v>
      </c>
    </row>
    <row r="206" spans="1:5" s="13" customFormat="1" x14ac:dyDescent="0.25">
      <c r="A206" s="22" t="s">
        <v>520</v>
      </c>
      <c r="B206" s="13" t="s">
        <v>514</v>
      </c>
      <c r="D206" s="14" t="s">
        <v>389</v>
      </c>
      <c r="E206" s="13" t="s">
        <v>557</v>
      </c>
    </row>
    <row r="207" spans="1:5" s="13" customFormat="1" ht="30" x14ac:dyDescent="0.25">
      <c r="A207" s="13" t="s">
        <v>549</v>
      </c>
      <c r="B207" s="13" t="s">
        <v>514</v>
      </c>
      <c r="D207" s="25" t="s">
        <v>550</v>
      </c>
    </row>
    <row r="208" spans="1:5" s="13" customFormat="1" x14ac:dyDescent="0.25">
      <c r="A208" s="13" t="s">
        <v>526</v>
      </c>
      <c r="B208" s="13" t="s">
        <v>514</v>
      </c>
      <c r="D208" s="14" t="s">
        <v>388</v>
      </c>
      <c r="E208" s="13" t="s">
        <v>527</v>
      </c>
    </row>
    <row r="209" spans="1:5" s="13" customFormat="1" x14ac:dyDescent="0.25">
      <c r="A209" s="22" t="s">
        <v>548</v>
      </c>
      <c r="B209" s="13" t="s">
        <v>514</v>
      </c>
      <c r="D209" s="14" t="s">
        <v>388</v>
      </c>
    </row>
    <row r="210" spans="1:5" s="13" customFormat="1" ht="30" x14ac:dyDescent="0.25">
      <c r="A210" s="13" t="s">
        <v>558</v>
      </c>
      <c r="B210" s="13" t="s">
        <v>514</v>
      </c>
      <c r="D210" s="25" t="s">
        <v>584</v>
      </c>
      <c r="E210" s="13" t="s">
        <v>582</v>
      </c>
    </row>
    <row r="211" spans="1:5" s="13" customFormat="1" ht="30" x14ac:dyDescent="0.25">
      <c r="A211" s="13" t="s">
        <v>583</v>
      </c>
      <c r="B211" s="13" t="s">
        <v>514</v>
      </c>
      <c r="D211" s="25" t="s">
        <v>585</v>
      </c>
      <c r="E211" s="13" t="s">
        <v>582</v>
      </c>
    </row>
    <row r="212" spans="1:5" s="13" customFormat="1" ht="30" x14ac:dyDescent="0.25">
      <c r="A212" s="13" t="s">
        <v>564</v>
      </c>
      <c r="B212" s="13" t="s">
        <v>574</v>
      </c>
      <c r="D212" s="25" t="s">
        <v>566</v>
      </c>
    </row>
    <row r="213" spans="1:5" s="13" customFormat="1" x14ac:dyDescent="0.25">
      <c r="D213" s="14"/>
    </row>
    <row r="214" spans="1:5" s="13" customFormat="1" x14ac:dyDescent="0.25">
      <c r="D214" s="14"/>
    </row>
    <row r="215" spans="1:5" s="13" customFormat="1" x14ac:dyDescent="0.25">
      <c r="D215" s="14"/>
    </row>
    <row r="216" spans="1:5" s="13" customFormat="1" x14ac:dyDescent="0.25">
      <c r="D216" s="14"/>
    </row>
    <row r="217" spans="1:5" s="13" customFormat="1" x14ac:dyDescent="0.25">
      <c r="D217" s="14"/>
    </row>
    <row r="218" spans="1:5" s="13" customFormat="1" ht="30" x14ac:dyDescent="0.25">
      <c r="A218" s="13" t="s">
        <v>565</v>
      </c>
      <c r="B218" s="13" t="s">
        <v>574</v>
      </c>
      <c r="D218" s="25" t="s">
        <v>567</v>
      </c>
    </row>
    <row r="219" spans="1:5" s="13" customFormat="1" ht="60" x14ac:dyDescent="0.25">
      <c r="A219" s="14" t="s">
        <v>571</v>
      </c>
      <c r="B219" s="13" t="s">
        <v>574</v>
      </c>
      <c r="D219" s="25" t="s">
        <v>570</v>
      </c>
    </row>
    <row r="220" spans="1:5" s="13" customFormat="1" ht="45" x14ac:dyDescent="0.25">
      <c r="A220" s="14" t="s">
        <v>568</v>
      </c>
      <c r="B220" s="13" t="s">
        <v>574</v>
      </c>
      <c r="D220" s="25" t="s">
        <v>569</v>
      </c>
    </row>
    <row r="221" spans="1:5" s="13" customFormat="1" ht="75" x14ac:dyDescent="0.25">
      <c r="A221" s="15" t="s">
        <v>572</v>
      </c>
      <c r="B221" s="13" t="s">
        <v>574</v>
      </c>
      <c r="D221" s="25" t="s">
        <v>573</v>
      </c>
      <c r="E221" s="13" t="s">
        <v>582</v>
      </c>
    </row>
    <row r="222" spans="1:5" s="13" customFormat="1" ht="30" x14ac:dyDescent="0.25">
      <c r="A222" s="15" t="s">
        <v>610</v>
      </c>
      <c r="B222" s="13" t="s">
        <v>586</v>
      </c>
      <c r="D222" s="25" t="s">
        <v>611</v>
      </c>
    </row>
    <row r="223" spans="1:5" s="13" customFormat="1" x14ac:dyDescent="0.25">
      <c r="A223" s="15" t="s">
        <v>614</v>
      </c>
      <c r="B223" s="13" t="s">
        <v>616</v>
      </c>
      <c r="D223" s="25" t="s">
        <v>389</v>
      </c>
    </row>
    <row r="224" spans="1:5" s="13" customFormat="1" ht="30" x14ac:dyDescent="0.25">
      <c r="A224" s="15" t="s">
        <v>639</v>
      </c>
      <c r="B224" s="13" t="s">
        <v>616</v>
      </c>
      <c r="D224" s="25" t="s">
        <v>620</v>
      </c>
    </row>
    <row r="225" spans="1:5" s="13" customFormat="1" ht="30" x14ac:dyDescent="0.25">
      <c r="A225" s="15" t="s">
        <v>615</v>
      </c>
      <c r="B225" s="13" t="s">
        <v>616</v>
      </c>
      <c r="D225" s="25" t="s">
        <v>617</v>
      </c>
    </row>
    <row r="226" spans="1:5" s="13" customFormat="1" ht="45" x14ac:dyDescent="0.25">
      <c r="A226" s="15" t="s">
        <v>623</v>
      </c>
      <c r="B226" s="13" t="s">
        <v>616</v>
      </c>
      <c r="D226" s="25" t="s">
        <v>624</v>
      </c>
    </row>
    <row r="227" spans="1:5" s="13" customFormat="1" ht="30" x14ac:dyDescent="0.25">
      <c r="A227" s="15" t="s">
        <v>618</v>
      </c>
      <c r="B227" s="13" t="s">
        <v>616</v>
      </c>
      <c r="D227" s="25" t="s">
        <v>619</v>
      </c>
    </row>
    <row r="228" spans="1:5" s="13" customFormat="1" ht="75" x14ac:dyDescent="0.25">
      <c r="A228" s="14" t="s">
        <v>593</v>
      </c>
      <c r="B228" s="13" t="s">
        <v>586</v>
      </c>
      <c r="D228" s="25" t="s">
        <v>587</v>
      </c>
      <c r="E228" s="12" t="s">
        <v>592</v>
      </c>
    </row>
    <row r="229" spans="1:5" s="13" customFormat="1" ht="45" x14ac:dyDescent="0.25">
      <c r="A229" s="14" t="s">
        <v>588</v>
      </c>
      <c r="B229" s="13" t="s">
        <v>586</v>
      </c>
      <c r="D229" s="25" t="s">
        <v>589</v>
      </c>
    </row>
    <row r="230" spans="1:5" s="13" customFormat="1" ht="30" x14ac:dyDescent="0.25">
      <c r="A230" s="14" t="s">
        <v>590</v>
      </c>
      <c r="B230" s="13" t="s">
        <v>586</v>
      </c>
      <c r="D230" s="25" t="s">
        <v>591</v>
      </c>
    </row>
    <row r="231" spans="1:5" s="13" customFormat="1" x14ac:dyDescent="0.25">
      <c r="A231" s="14" t="s">
        <v>594</v>
      </c>
      <c r="B231" s="13" t="s">
        <v>586</v>
      </c>
      <c r="D231" s="25" t="s">
        <v>389</v>
      </c>
    </row>
    <row r="232" spans="1:5" s="13" customFormat="1" x14ac:dyDescent="0.25">
      <c r="A232" s="14" t="s">
        <v>602</v>
      </c>
      <c r="B232" s="13" t="s">
        <v>580</v>
      </c>
      <c r="D232" s="25" t="s">
        <v>389</v>
      </c>
      <c r="E232" s="12"/>
    </row>
    <row r="233" spans="1:5" s="13" customFormat="1" ht="30" x14ac:dyDescent="0.25">
      <c r="A233" s="14" t="s">
        <v>603</v>
      </c>
      <c r="B233" s="13" t="s">
        <v>580</v>
      </c>
      <c r="D233" s="25" t="s">
        <v>620</v>
      </c>
      <c r="E233" s="12"/>
    </row>
    <row r="234" spans="1:5" s="13" customFormat="1" ht="45" x14ac:dyDescent="0.25">
      <c r="A234" s="14" t="s">
        <v>606</v>
      </c>
      <c r="B234" s="13" t="s">
        <v>580</v>
      </c>
      <c r="D234" s="25" t="s">
        <v>607</v>
      </c>
      <c r="E234" s="12"/>
    </row>
    <row r="235" spans="1:5" s="13" customFormat="1" ht="30" x14ac:dyDescent="0.25">
      <c r="A235" s="14" t="s">
        <v>621</v>
      </c>
      <c r="B235" s="13" t="s">
        <v>580</v>
      </c>
      <c r="D235" s="25" t="s">
        <v>622</v>
      </c>
      <c r="E235" s="12"/>
    </row>
    <row r="236" spans="1:5" s="13" customFormat="1" ht="45" x14ac:dyDescent="0.25">
      <c r="A236" s="14" t="s">
        <v>625</v>
      </c>
      <c r="B236" s="13" t="s">
        <v>580</v>
      </c>
      <c r="D236" s="25" t="s">
        <v>624</v>
      </c>
      <c r="E236" s="12"/>
    </row>
    <row r="237" spans="1:5" s="13" customFormat="1" ht="45" x14ac:dyDescent="0.25">
      <c r="A237" s="14" t="s">
        <v>627</v>
      </c>
      <c r="B237" s="13" t="s">
        <v>580</v>
      </c>
      <c r="D237" s="25" t="s">
        <v>626</v>
      </c>
      <c r="E237" s="12"/>
    </row>
    <row r="238" spans="1:5" s="13" customFormat="1" ht="45" x14ac:dyDescent="0.25">
      <c r="A238" s="14" t="s">
        <v>628</v>
      </c>
      <c r="B238" s="13" t="s">
        <v>580</v>
      </c>
      <c r="D238" s="25" t="s">
        <v>629</v>
      </c>
      <c r="E238" s="12"/>
    </row>
    <row r="239" spans="1:5" s="13" customFormat="1" ht="45" x14ac:dyDescent="0.25">
      <c r="A239" s="14" t="s">
        <v>631</v>
      </c>
      <c r="B239" s="13" t="s">
        <v>580</v>
      </c>
      <c r="D239" s="25" t="s">
        <v>630</v>
      </c>
      <c r="E239" s="12"/>
    </row>
    <row r="240" spans="1:5" s="13" customFormat="1" ht="60" x14ac:dyDescent="0.25">
      <c r="A240" s="14" t="s">
        <v>632</v>
      </c>
      <c r="B240" s="13" t="s">
        <v>580</v>
      </c>
      <c r="D240" s="25" t="s">
        <v>633</v>
      </c>
      <c r="E240" s="12"/>
    </row>
    <row r="241" spans="1:5" s="13" customFormat="1" x14ac:dyDescent="0.25">
      <c r="A241" s="14" t="s">
        <v>563</v>
      </c>
      <c r="D241" s="25"/>
    </row>
    <row r="242" spans="1:5" s="13" customFormat="1" ht="60" x14ac:dyDescent="0.25">
      <c r="A242" s="14" t="s">
        <v>533</v>
      </c>
      <c r="B242" s="13" t="s">
        <v>531</v>
      </c>
      <c r="D242" s="25" t="s">
        <v>534</v>
      </c>
    </row>
    <row r="243" spans="1:5" s="13" customFormat="1" ht="60" x14ac:dyDescent="0.25">
      <c r="A243" s="14" t="s">
        <v>577</v>
      </c>
      <c r="B243" s="13" t="s">
        <v>578</v>
      </c>
      <c r="D243" s="25" t="s">
        <v>534</v>
      </c>
    </row>
    <row r="244" spans="1:5" s="13" customFormat="1" ht="45" x14ac:dyDescent="0.25">
      <c r="A244" s="14" t="s">
        <v>575</v>
      </c>
      <c r="B244" s="13" t="s">
        <v>574</v>
      </c>
      <c r="D244" s="25" t="s">
        <v>576</v>
      </c>
      <c r="E244" s="13" t="s">
        <v>582</v>
      </c>
    </row>
    <row r="245" spans="1:5" s="13" customFormat="1" x14ac:dyDescent="0.25">
      <c r="A245" s="14" t="s">
        <v>601</v>
      </c>
      <c r="B245" s="13" t="s">
        <v>586</v>
      </c>
      <c r="D245" s="25" t="s">
        <v>388</v>
      </c>
    </row>
    <row r="246" spans="1:5" s="13" customFormat="1" ht="30" x14ac:dyDescent="0.25">
      <c r="A246" s="14" t="s">
        <v>604</v>
      </c>
      <c r="B246" s="13" t="s">
        <v>586</v>
      </c>
      <c r="D246" s="25" t="s">
        <v>605</v>
      </c>
    </row>
    <row r="247" spans="1:5" s="13" customFormat="1" ht="45" x14ac:dyDescent="0.25">
      <c r="A247" s="14" t="s">
        <v>608</v>
      </c>
      <c r="B247" s="13" t="s">
        <v>586</v>
      </c>
      <c r="D247" s="25" t="s">
        <v>609</v>
      </c>
    </row>
    <row r="248" spans="1:5" s="13" customFormat="1" x14ac:dyDescent="0.25">
      <c r="A248" s="14" t="s">
        <v>612</v>
      </c>
      <c r="B248" s="13" t="s">
        <v>613</v>
      </c>
      <c r="D248" s="25" t="s">
        <v>388</v>
      </c>
    </row>
    <row r="249" spans="1:5" s="13" customFormat="1" x14ac:dyDescent="0.25">
      <c r="A249" s="13" t="s">
        <v>595</v>
      </c>
      <c r="B249" s="13" t="s">
        <v>586</v>
      </c>
      <c r="D249" s="14" t="s">
        <v>596</v>
      </c>
    </row>
    <row r="250" spans="1:5" s="13" customFormat="1" x14ac:dyDescent="0.25">
      <c r="A250" s="13" t="s">
        <v>597</v>
      </c>
      <c r="B250" s="13" t="s">
        <v>586</v>
      </c>
      <c r="D250" s="14" t="s">
        <v>598</v>
      </c>
    </row>
    <row r="251" spans="1:5" s="13" customFormat="1" ht="30" x14ac:dyDescent="0.25">
      <c r="A251" s="14" t="s">
        <v>600</v>
      </c>
      <c r="B251" s="13" t="s">
        <v>586</v>
      </c>
      <c r="D251" s="25" t="s">
        <v>599</v>
      </c>
    </row>
    <row r="252" spans="1:5" s="13" customFormat="1" ht="75" x14ac:dyDescent="0.25">
      <c r="A252" s="14" t="s">
        <v>635</v>
      </c>
      <c r="B252" s="13" t="s">
        <v>634</v>
      </c>
      <c r="D252" s="25" t="s">
        <v>636</v>
      </c>
      <c r="E252" s="13" t="s">
        <v>654</v>
      </c>
    </row>
    <row r="253" spans="1:5" s="13" customFormat="1" ht="30" x14ac:dyDescent="0.25">
      <c r="A253" s="14" t="s">
        <v>648</v>
      </c>
      <c r="B253" s="13" t="s">
        <v>586</v>
      </c>
      <c r="D253" s="25" t="s">
        <v>649</v>
      </c>
      <c r="E253" s="13" t="s">
        <v>654</v>
      </c>
    </row>
    <row r="254" spans="1:5" s="13" customFormat="1" ht="75" x14ac:dyDescent="0.25">
      <c r="A254" s="14" t="s">
        <v>669</v>
      </c>
      <c r="B254" s="13" t="s">
        <v>586</v>
      </c>
      <c r="D254" s="25" t="s">
        <v>656</v>
      </c>
    </row>
    <row r="255" spans="1:5" s="13" customFormat="1" ht="105" x14ac:dyDescent="0.25">
      <c r="A255" s="14" t="s">
        <v>670</v>
      </c>
      <c r="B255" s="13" t="s">
        <v>586</v>
      </c>
      <c r="D255" s="25" t="s">
        <v>671</v>
      </c>
    </row>
    <row r="256" spans="1:5" s="13" customFormat="1" ht="60" x14ac:dyDescent="0.25">
      <c r="A256" s="14" t="s">
        <v>644</v>
      </c>
      <c r="B256" s="13" t="s">
        <v>634</v>
      </c>
      <c r="D256" s="25" t="s">
        <v>645</v>
      </c>
      <c r="E256" s="13" t="s">
        <v>654</v>
      </c>
    </row>
    <row r="257" spans="1:5" s="13" customFormat="1" ht="75" x14ac:dyDescent="0.25">
      <c r="A257" s="14" t="s">
        <v>646</v>
      </c>
      <c r="B257" s="13" t="s">
        <v>634</v>
      </c>
      <c r="D257" s="25" t="s">
        <v>647</v>
      </c>
    </row>
    <row r="258" spans="1:5" s="13" customFormat="1" ht="75" x14ac:dyDescent="0.25">
      <c r="A258" s="14" t="s">
        <v>659</v>
      </c>
      <c r="B258" s="13" t="s">
        <v>634</v>
      </c>
      <c r="D258" s="25" t="s">
        <v>662</v>
      </c>
    </row>
    <row r="259" spans="1:5" s="13" customFormat="1" ht="75" x14ac:dyDescent="0.25">
      <c r="A259" s="14" t="s">
        <v>661</v>
      </c>
      <c r="B259" s="13" t="s">
        <v>634</v>
      </c>
      <c r="D259" s="25" t="s">
        <v>663</v>
      </c>
    </row>
    <row r="260" spans="1:5" s="13" customFormat="1" ht="75" x14ac:dyDescent="0.25">
      <c r="A260" s="14" t="s">
        <v>664</v>
      </c>
      <c r="B260" s="13" t="s">
        <v>634</v>
      </c>
      <c r="D260" s="25" t="s">
        <v>667</v>
      </c>
    </row>
    <row r="261" spans="1:5" s="13" customFormat="1" ht="45" x14ac:dyDescent="0.25">
      <c r="A261" s="14" t="s">
        <v>666</v>
      </c>
      <c r="B261" s="13" t="s">
        <v>586</v>
      </c>
      <c r="D261" s="25" t="s">
        <v>665</v>
      </c>
    </row>
    <row r="262" spans="1:5" s="13" customFormat="1" ht="31.5" customHeight="1" x14ac:dyDescent="0.25">
      <c r="A262" s="14" t="s">
        <v>681</v>
      </c>
      <c r="B262" s="13" t="s">
        <v>680</v>
      </c>
      <c r="C262" s="13" t="s">
        <v>691</v>
      </c>
      <c r="D262" s="25" t="s">
        <v>684</v>
      </c>
    </row>
    <row r="263" spans="1:5" s="13" customFormat="1" ht="31.5" customHeight="1" x14ac:dyDescent="0.25">
      <c r="A263" s="14" t="s">
        <v>704</v>
      </c>
      <c r="B263" s="13" t="s">
        <v>578</v>
      </c>
      <c r="C263" s="13" t="s">
        <v>691</v>
      </c>
      <c r="D263" s="25" t="s">
        <v>705</v>
      </c>
    </row>
    <row r="264" spans="1:5" s="13" customFormat="1" ht="31.5" customHeight="1" x14ac:dyDescent="0.25">
      <c r="A264" s="14" t="s">
        <v>682</v>
      </c>
      <c r="B264" s="13" t="s">
        <v>680</v>
      </c>
      <c r="C264" s="13" t="s">
        <v>691</v>
      </c>
      <c r="D264" s="25" t="s">
        <v>683</v>
      </c>
    </row>
    <row r="265" spans="1:5" s="13" customFormat="1" ht="30" x14ac:dyDescent="0.25">
      <c r="A265" s="14" t="s">
        <v>685</v>
      </c>
      <c r="B265" s="13" t="s">
        <v>680</v>
      </c>
      <c r="C265" s="13" t="s">
        <v>691</v>
      </c>
      <c r="D265" s="25" t="s">
        <v>686</v>
      </c>
    </row>
    <row r="266" spans="1:5" s="13" customFormat="1" ht="30" x14ac:dyDescent="0.25">
      <c r="A266" s="14" t="s">
        <v>687</v>
      </c>
      <c r="B266" s="13" t="s">
        <v>680</v>
      </c>
      <c r="C266" s="13" t="s">
        <v>691</v>
      </c>
      <c r="D266" s="25" t="s">
        <v>688</v>
      </c>
    </row>
    <row r="267" spans="1:5" s="13" customFormat="1" ht="30" x14ac:dyDescent="0.25">
      <c r="A267" s="14" t="s">
        <v>689</v>
      </c>
      <c r="B267" s="13" t="s">
        <v>680</v>
      </c>
      <c r="C267" s="13" t="s">
        <v>691</v>
      </c>
      <c r="D267" s="25" t="s">
        <v>690</v>
      </c>
    </row>
    <row r="268" spans="1:5" s="13" customFormat="1" ht="75" x14ac:dyDescent="0.25">
      <c r="A268" s="14" t="s">
        <v>692</v>
      </c>
      <c r="B268" s="13" t="s">
        <v>680</v>
      </c>
      <c r="C268" s="13" t="s">
        <v>691</v>
      </c>
      <c r="D268" s="25" t="s">
        <v>693</v>
      </c>
    </row>
    <row r="269" spans="1:5" s="13" customFormat="1" ht="30" x14ac:dyDescent="0.25">
      <c r="A269" s="14" t="s">
        <v>696</v>
      </c>
      <c r="B269" s="13" t="s">
        <v>680</v>
      </c>
      <c r="C269" s="13" t="s">
        <v>691</v>
      </c>
      <c r="D269" s="25" t="s">
        <v>694</v>
      </c>
    </row>
    <row r="270" spans="1:5" s="13" customFormat="1" ht="30" x14ac:dyDescent="0.25">
      <c r="A270" s="14" t="s">
        <v>697</v>
      </c>
      <c r="B270" s="13" t="s">
        <v>680</v>
      </c>
      <c r="C270" s="13" t="s">
        <v>691</v>
      </c>
      <c r="D270" s="25" t="s">
        <v>695</v>
      </c>
    </row>
    <row r="271" spans="1:5" s="13" customFormat="1" ht="30" x14ac:dyDescent="0.25">
      <c r="A271" s="14" t="s">
        <v>698</v>
      </c>
      <c r="B271" s="13" t="s">
        <v>680</v>
      </c>
      <c r="D271" s="25" t="s">
        <v>699</v>
      </c>
      <c r="E271" s="26" t="s">
        <v>708</v>
      </c>
    </row>
    <row r="272" spans="1:5" s="13" customFormat="1" ht="30" x14ac:dyDescent="0.25">
      <c r="A272" s="14" t="s">
        <v>640</v>
      </c>
      <c r="B272" s="13" t="s">
        <v>634</v>
      </c>
      <c r="D272" s="25" t="s">
        <v>641</v>
      </c>
      <c r="E272" s="13" t="s">
        <v>655</v>
      </c>
    </row>
    <row r="273" spans="1:5" s="13" customFormat="1" ht="30" x14ac:dyDescent="0.25">
      <c r="A273" s="14" t="s">
        <v>642</v>
      </c>
      <c r="B273" s="13" t="s">
        <v>634</v>
      </c>
      <c r="D273" s="25" t="s">
        <v>643</v>
      </c>
      <c r="E273" s="13" t="s">
        <v>654</v>
      </c>
    </row>
    <row r="274" spans="1:5" s="13" customFormat="1" ht="30" x14ac:dyDescent="0.25">
      <c r="A274" s="14" t="s">
        <v>657</v>
      </c>
      <c r="B274" s="13" t="s">
        <v>580</v>
      </c>
      <c r="D274" s="25" t="s">
        <v>658</v>
      </c>
    </row>
    <row r="275" spans="1:5" s="13" customFormat="1" ht="45" x14ac:dyDescent="0.25">
      <c r="A275" s="14" t="s">
        <v>652</v>
      </c>
      <c r="B275" s="13" t="s">
        <v>634</v>
      </c>
      <c r="D275" s="25" t="s">
        <v>653</v>
      </c>
    </row>
    <row r="276" spans="1:5" s="13" customFormat="1" ht="30" x14ac:dyDescent="0.25">
      <c r="A276" s="14" t="s">
        <v>700</v>
      </c>
      <c r="B276" s="13" t="s">
        <v>680</v>
      </c>
      <c r="C276" s="13" t="s">
        <v>691</v>
      </c>
      <c r="D276" s="25" t="s">
        <v>701</v>
      </c>
    </row>
    <row r="277" spans="1:5" s="13" customFormat="1" ht="30" x14ac:dyDescent="0.25">
      <c r="A277" s="14" t="s">
        <v>702</v>
      </c>
      <c r="B277" s="13" t="s">
        <v>709</v>
      </c>
      <c r="C277" s="13" t="s">
        <v>691</v>
      </c>
      <c r="D277" s="25" t="s">
        <v>703</v>
      </c>
    </row>
    <row r="278" spans="1:5" s="13" customFormat="1" ht="30" x14ac:dyDescent="0.25">
      <c r="A278" s="14" t="s">
        <v>720</v>
      </c>
      <c r="B278" s="13" t="s">
        <v>717</v>
      </c>
      <c r="C278" s="13" t="s">
        <v>691</v>
      </c>
      <c r="D278" s="25" t="s">
        <v>701</v>
      </c>
      <c r="E278" s="12" t="s">
        <v>728</v>
      </c>
    </row>
    <row r="279" spans="1:5" s="13" customFormat="1" ht="30" x14ac:dyDescent="0.25">
      <c r="A279" s="14" t="s">
        <v>731</v>
      </c>
      <c r="B279" s="13" t="s">
        <v>729</v>
      </c>
      <c r="C279" s="14" t="s">
        <v>736</v>
      </c>
      <c r="D279" s="25" t="s">
        <v>733</v>
      </c>
      <c r="E279" s="12" t="s">
        <v>732</v>
      </c>
    </row>
    <row r="280" spans="1:5" s="13" customFormat="1" ht="30" x14ac:dyDescent="0.25">
      <c r="A280" s="14" t="s">
        <v>741</v>
      </c>
      <c r="B280" s="13" t="s">
        <v>738</v>
      </c>
      <c r="C280" s="14" t="s">
        <v>736</v>
      </c>
      <c r="D280" s="25" t="s">
        <v>733</v>
      </c>
      <c r="E280" s="12" t="s">
        <v>732</v>
      </c>
    </row>
    <row r="281" spans="1:5" s="13" customFormat="1" ht="30" x14ac:dyDescent="0.25">
      <c r="A281" s="14" t="s">
        <v>741</v>
      </c>
      <c r="B281" s="13" t="s">
        <v>738</v>
      </c>
      <c r="C281" s="14" t="s">
        <v>736</v>
      </c>
      <c r="D281" s="25" t="s">
        <v>733</v>
      </c>
      <c r="E281" s="12"/>
    </row>
    <row r="282" spans="1:5" s="13" customFormat="1" ht="60" x14ac:dyDescent="0.25">
      <c r="A282" s="14" t="s">
        <v>743</v>
      </c>
      <c r="B282" s="13" t="s">
        <v>738</v>
      </c>
      <c r="C282" s="27" t="s">
        <v>768</v>
      </c>
      <c r="D282" s="25" t="s">
        <v>744</v>
      </c>
      <c r="E282" s="12"/>
    </row>
    <row r="283" spans="1:5" s="13" customFormat="1" ht="90" x14ac:dyDescent="0.25">
      <c r="A283" s="14" t="s">
        <v>745</v>
      </c>
      <c r="B283" s="13" t="s">
        <v>738</v>
      </c>
      <c r="C283" s="27" t="s">
        <v>768</v>
      </c>
      <c r="D283" s="25" t="s">
        <v>748</v>
      </c>
      <c r="E283" s="12"/>
    </row>
    <row r="284" spans="1:5" s="13" customFormat="1" ht="90" x14ac:dyDescent="0.25">
      <c r="A284" s="14" t="s">
        <v>749</v>
      </c>
      <c r="B284" s="13" t="s">
        <v>738</v>
      </c>
      <c r="C284" s="27"/>
      <c r="D284" s="25" t="s">
        <v>753</v>
      </c>
      <c r="E284" s="12"/>
    </row>
    <row r="285" spans="1:5" s="13" customFormat="1" ht="105" x14ac:dyDescent="0.25">
      <c r="A285" s="14" t="s">
        <v>750</v>
      </c>
      <c r="B285" s="13" t="s">
        <v>738</v>
      </c>
      <c r="C285" s="27"/>
      <c r="D285" s="25" t="s">
        <v>754</v>
      </c>
      <c r="E285" s="12"/>
    </row>
    <row r="286" spans="1:5" s="13" customFormat="1" ht="90" x14ac:dyDescent="0.25">
      <c r="A286" s="14" t="s">
        <v>751</v>
      </c>
      <c r="B286" s="13" t="s">
        <v>738</v>
      </c>
      <c r="C286" s="27"/>
      <c r="D286" s="25" t="s">
        <v>752</v>
      </c>
      <c r="E286" s="12"/>
    </row>
    <row r="287" spans="1:5" s="13" customFormat="1" ht="75" x14ac:dyDescent="0.25">
      <c r="A287" s="14" t="s">
        <v>755</v>
      </c>
      <c r="B287" s="13" t="s">
        <v>738</v>
      </c>
      <c r="C287" s="27"/>
      <c r="D287" s="25" t="s">
        <v>756</v>
      </c>
      <c r="E287" s="12"/>
    </row>
    <row r="288" spans="1:5" s="13" customFormat="1" ht="75" x14ac:dyDescent="0.25">
      <c r="A288" s="14" t="s">
        <v>757</v>
      </c>
      <c r="B288" s="13" t="s">
        <v>738</v>
      </c>
      <c r="C288" s="27"/>
      <c r="D288" s="25" t="s">
        <v>758</v>
      </c>
      <c r="E288" s="12"/>
    </row>
    <row r="289" spans="1:5" s="13" customFormat="1" ht="75" x14ac:dyDescent="0.25">
      <c r="A289" s="14" t="s">
        <v>759</v>
      </c>
      <c r="B289" s="13" t="s">
        <v>738</v>
      </c>
      <c r="C289" s="27"/>
      <c r="D289" s="25" t="s">
        <v>760</v>
      </c>
      <c r="E289" s="12" t="s">
        <v>761</v>
      </c>
    </row>
    <row r="290" spans="1:5" s="13" customFormat="1" ht="75" x14ac:dyDescent="0.25">
      <c r="A290" s="14" t="s">
        <v>770</v>
      </c>
      <c r="B290" s="13" t="s">
        <v>769</v>
      </c>
      <c r="C290" s="27">
        <v>0</v>
      </c>
      <c r="D290" s="25" t="s">
        <v>758</v>
      </c>
      <c r="E290" s="29" t="s">
        <v>582</v>
      </c>
    </row>
    <row r="291" spans="1:5" s="13" customFormat="1" ht="90" x14ac:dyDescent="0.25">
      <c r="A291" s="14" t="s">
        <v>746</v>
      </c>
      <c r="B291" s="13" t="s">
        <v>738</v>
      </c>
      <c r="C291" s="27" t="s">
        <v>768</v>
      </c>
      <c r="D291" s="25" t="s">
        <v>747</v>
      </c>
    </row>
    <row r="292" spans="1:5" s="13" customFormat="1" x14ac:dyDescent="0.25">
      <c r="A292" s="14"/>
      <c r="C292" s="27"/>
      <c r="D292" s="25"/>
      <c r="E292" s="12"/>
    </row>
    <row r="293" spans="1:5" s="13" customFormat="1" ht="90" x14ac:dyDescent="0.25">
      <c r="A293" s="14" t="s">
        <v>763</v>
      </c>
      <c r="B293" s="13" t="s">
        <v>738</v>
      </c>
      <c r="C293" s="27" t="s">
        <v>768</v>
      </c>
      <c r="D293" s="25" t="s">
        <v>762</v>
      </c>
      <c r="E293" s="12"/>
    </row>
    <row r="294" spans="1:5" s="13" customFormat="1" ht="60" x14ac:dyDescent="0.25">
      <c r="A294" s="14" t="s">
        <v>637</v>
      </c>
      <c r="B294" s="13" t="s">
        <v>634</v>
      </c>
      <c r="D294" s="25" t="s">
        <v>638</v>
      </c>
      <c r="E294" s="12" t="s">
        <v>651</v>
      </c>
    </row>
    <row r="295" spans="1:5" s="13" customFormat="1" ht="75" x14ac:dyDescent="0.25">
      <c r="A295" s="14" t="s">
        <v>672</v>
      </c>
      <c r="B295" s="13" t="s">
        <v>580</v>
      </c>
      <c r="D295" s="25" t="s">
        <v>673</v>
      </c>
      <c r="E295" s="12"/>
    </row>
    <row r="296" spans="1:5" s="13" customFormat="1" ht="90" x14ac:dyDescent="0.25">
      <c r="A296" s="14" t="s">
        <v>678</v>
      </c>
      <c r="B296" s="13" t="s">
        <v>634</v>
      </c>
      <c r="C296" s="13" t="s">
        <v>767</v>
      </c>
      <c r="D296" s="25" t="s">
        <v>668</v>
      </c>
    </row>
    <row r="297" spans="1:5" s="13" customFormat="1" ht="60" x14ac:dyDescent="0.25">
      <c r="A297" s="14" t="s">
        <v>679</v>
      </c>
      <c r="B297" s="13" t="s">
        <v>680</v>
      </c>
      <c r="D297" s="25" t="s">
        <v>638</v>
      </c>
    </row>
    <row r="298" spans="1:5" s="13" customFormat="1" ht="45" x14ac:dyDescent="0.25">
      <c r="A298" s="14" t="s">
        <v>714</v>
      </c>
      <c r="B298" s="13" t="s">
        <v>712</v>
      </c>
      <c r="C298" s="13" t="s">
        <v>691</v>
      </c>
      <c r="D298" s="25" t="s">
        <v>723</v>
      </c>
    </row>
    <row r="299" spans="1:5" s="13" customFormat="1" ht="45" x14ac:dyDescent="0.25">
      <c r="A299" s="14" t="s">
        <v>718</v>
      </c>
      <c r="B299" s="13" t="s">
        <v>717</v>
      </c>
      <c r="C299" s="13" t="s">
        <v>691</v>
      </c>
      <c r="D299" s="25" t="s">
        <v>723</v>
      </c>
      <c r="E299" s="13" t="s">
        <v>765</v>
      </c>
    </row>
    <row r="300" spans="1:5" s="13" customFormat="1" ht="45" x14ac:dyDescent="0.25">
      <c r="A300" s="14" t="s">
        <v>724</v>
      </c>
      <c r="B300" s="13" t="s">
        <v>717</v>
      </c>
      <c r="C300" s="13" t="s">
        <v>691</v>
      </c>
      <c r="D300" s="25" t="s">
        <v>725</v>
      </c>
    </row>
    <row r="301" spans="1:5" s="13" customFormat="1" ht="45" x14ac:dyDescent="0.25">
      <c r="A301" s="14" t="s">
        <v>726</v>
      </c>
      <c r="B301" s="13" t="s">
        <v>729</v>
      </c>
      <c r="C301" s="13" t="s">
        <v>736</v>
      </c>
      <c r="D301" s="25" t="s">
        <v>727</v>
      </c>
    </row>
    <row r="302" spans="1:5" s="13" customFormat="1" ht="45" x14ac:dyDescent="0.25">
      <c r="A302" s="14" t="s">
        <v>737</v>
      </c>
      <c r="B302" s="13" t="s">
        <v>738</v>
      </c>
      <c r="C302" s="13" t="s">
        <v>742</v>
      </c>
      <c r="D302" s="25" t="s">
        <v>727</v>
      </c>
      <c r="E302" s="15" t="s">
        <v>582</v>
      </c>
    </row>
    <row r="303" spans="1:5" s="13" customFormat="1" ht="75" x14ac:dyDescent="0.25">
      <c r="A303" s="14" t="s">
        <v>797</v>
      </c>
      <c r="B303" s="13" t="s">
        <v>769</v>
      </c>
      <c r="C303" s="13" t="s">
        <v>798</v>
      </c>
      <c r="D303" s="25" t="s">
        <v>727</v>
      </c>
      <c r="E303" s="12" t="s">
        <v>801</v>
      </c>
    </row>
    <row r="304" spans="1:5" s="13" customFormat="1" x14ac:dyDescent="0.25">
      <c r="A304" s="14"/>
      <c r="D304" s="25"/>
      <c r="E304" s="12"/>
    </row>
    <row r="305" spans="1:5" s="13" customFormat="1" ht="60" x14ac:dyDescent="0.25">
      <c r="A305" s="14" t="s">
        <v>799</v>
      </c>
      <c r="B305" s="13" t="s">
        <v>769</v>
      </c>
      <c r="C305" s="13" t="s">
        <v>798</v>
      </c>
      <c r="D305" s="25" t="s">
        <v>800</v>
      </c>
      <c r="E305" s="15"/>
    </row>
    <row r="306" spans="1:5" s="13" customFormat="1" ht="75" x14ac:dyDescent="0.25">
      <c r="A306" s="14" t="s">
        <v>785</v>
      </c>
      <c r="B306" s="13" t="s">
        <v>738</v>
      </c>
      <c r="D306" s="25" t="s">
        <v>787</v>
      </c>
      <c r="E306" s="12" t="s">
        <v>786</v>
      </c>
    </row>
    <row r="307" spans="1:5" s="13" customFormat="1" ht="60" x14ac:dyDescent="0.25">
      <c r="A307" s="14" t="s">
        <v>788</v>
      </c>
      <c r="B307" s="13" t="s">
        <v>769</v>
      </c>
      <c r="C307" s="13" t="s">
        <v>742</v>
      </c>
      <c r="D307" s="25" t="s">
        <v>727</v>
      </c>
      <c r="E307" s="12" t="s">
        <v>789</v>
      </c>
    </row>
    <row r="308" spans="1:5" s="13" customFormat="1" ht="120" x14ac:dyDescent="0.25">
      <c r="A308" s="14" t="s">
        <v>764</v>
      </c>
      <c r="B308" s="13" t="s">
        <v>738</v>
      </c>
      <c r="C308" s="13" t="s">
        <v>742</v>
      </c>
      <c r="D308" s="25" t="s">
        <v>766</v>
      </c>
      <c r="E308" s="12" t="s">
        <v>771</v>
      </c>
    </row>
    <row r="309" spans="1:5" s="13" customFormat="1" ht="105" x14ac:dyDescent="0.25">
      <c r="A309" s="14" t="s">
        <v>774</v>
      </c>
      <c r="B309" s="13" t="s">
        <v>738</v>
      </c>
      <c r="C309" s="13" t="s">
        <v>773</v>
      </c>
      <c r="D309" s="25" t="s">
        <v>776</v>
      </c>
      <c r="E309" s="12"/>
    </row>
    <row r="310" spans="1:5" s="13" customFormat="1" ht="135" x14ac:dyDescent="0.25">
      <c r="A310" s="14" t="s">
        <v>775</v>
      </c>
      <c r="B310" s="13" t="s">
        <v>738</v>
      </c>
      <c r="C310" s="13" t="s">
        <v>773</v>
      </c>
      <c r="D310" s="25" t="s">
        <v>777</v>
      </c>
      <c r="E310" s="12"/>
    </row>
    <row r="311" spans="1:5" s="13" customFormat="1" ht="30" x14ac:dyDescent="0.25">
      <c r="A311" s="14" t="s">
        <v>722</v>
      </c>
      <c r="B311" s="13" t="s">
        <v>717</v>
      </c>
      <c r="C311" s="13" t="s">
        <v>691</v>
      </c>
      <c r="D311" s="25" t="s">
        <v>721</v>
      </c>
    </row>
    <row r="312" spans="1:5" s="13" customFormat="1" ht="30" x14ac:dyDescent="0.25">
      <c r="A312" s="14" t="s">
        <v>734</v>
      </c>
      <c r="B312" s="13" t="s">
        <v>729</v>
      </c>
      <c r="C312" s="13" t="s">
        <v>736</v>
      </c>
      <c r="D312" s="25" t="s">
        <v>735</v>
      </c>
    </row>
    <row r="313" spans="1:5" s="13" customFormat="1" ht="30" x14ac:dyDescent="0.25">
      <c r="A313" s="14" t="s">
        <v>739</v>
      </c>
      <c r="B313" s="13" t="s">
        <v>738</v>
      </c>
      <c r="C313" s="13" t="s">
        <v>742</v>
      </c>
      <c r="D313" s="25" t="s">
        <v>735</v>
      </c>
      <c r="E313" s="15" t="s">
        <v>582</v>
      </c>
    </row>
    <row r="314" spans="1:5" s="13" customFormat="1" ht="30" x14ac:dyDescent="0.25">
      <c r="A314" s="14" t="s">
        <v>805</v>
      </c>
      <c r="B314" s="13" t="s">
        <v>769</v>
      </c>
      <c r="C314" s="13" t="s">
        <v>798</v>
      </c>
      <c r="D314" s="25" t="s">
        <v>735</v>
      </c>
      <c r="E314" s="15" t="s">
        <v>806</v>
      </c>
    </row>
    <row r="315" spans="1:5" s="13" customFormat="1" ht="30" x14ac:dyDescent="0.25">
      <c r="A315" s="14" t="s">
        <v>790</v>
      </c>
      <c r="B315" s="13" t="s">
        <v>769</v>
      </c>
      <c r="C315" s="13">
        <v>1104</v>
      </c>
      <c r="D315" s="25" t="s">
        <v>735</v>
      </c>
      <c r="E315" s="13" t="s">
        <v>791</v>
      </c>
    </row>
    <row r="316" spans="1:5" s="13" customFormat="1" x14ac:dyDescent="0.25">
      <c r="A316" s="13" t="s">
        <v>822</v>
      </c>
      <c r="B316" s="13" t="s">
        <v>802</v>
      </c>
      <c r="C316" s="13" t="s">
        <v>809</v>
      </c>
      <c r="D316" s="14" t="s">
        <v>803</v>
      </c>
      <c r="E316" s="13" t="s">
        <v>804</v>
      </c>
    </row>
    <row r="317" spans="1:5" s="13" customFormat="1" x14ac:dyDescent="0.25">
      <c r="A317" s="13" t="s">
        <v>823</v>
      </c>
      <c r="B317" s="13" t="s">
        <v>802</v>
      </c>
      <c r="C317" s="13" t="s">
        <v>809</v>
      </c>
      <c r="D317" s="14" t="s">
        <v>808</v>
      </c>
      <c r="E317" s="13" t="s">
        <v>814</v>
      </c>
    </row>
    <row r="318" spans="1:5" s="13" customFormat="1" x14ac:dyDescent="0.25">
      <c r="A318" s="13" t="s">
        <v>824</v>
      </c>
      <c r="B318" s="13" t="s">
        <v>802</v>
      </c>
      <c r="C318" s="13" t="s">
        <v>817</v>
      </c>
      <c r="D318" s="25" t="s">
        <v>803</v>
      </c>
      <c r="E318" s="13" t="s">
        <v>804</v>
      </c>
    </row>
    <row r="319" spans="1:5" s="13" customFormat="1" ht="45" x14ac:dyDescent="0.25">
      <c r="A319" s="22" t="s">
        <v>831</v>
      </c>
      <c r="B319" s="13" t="s">
        <v>802</v>
      </c>
      <c r="C319" s="13" t="s">
        <v>838</v>
      </c>
      <c r="D319" s="25" t="s">
        <v>832</v>
      </c>
    </row>
    <row r="320" spans="1:5" s="13" customFormat="1" ht="45" x14ac:dyDescent="0.25">
      <c r="A320" s="22" t="s">
        <v>853</v>
      </c>
      <c r="B320" s="13" t="s">
        <v>802</v>
      </c>
      <c r="C320" s="13" t="s">
        <v>851</v>
      </c>
      <c r="D320" s="25" t="s">
        <v>854</v>
      </c>
    </row>
    <row r="321" spans="1:5" s="13" customFormat="1" ht="30" x14ac:dyDescent="0.25">
      <c r="A321" s="22" t="s">
        <v>855</v>
      </c>
      <c r="B321" s="13" t="s">
        <v>802</v>
      </c>
      <c r="C321" s="13" t="s">
        <v>851</v>
      </c>
      <c r="D321" s="25" t="s">
        <v>856</v>
      </c>
    </row>
    <row r="322" spans="1:5" s="13" customFormat="1" ht="45" x14ac:dyDescent="0.25">
      <c r="A322" s="13" t="s">
        <v>818</v>
      </c>
      <c r="B322" s="13" t="s">
        <v>802</v>
      </c>
      <c r="C322" s="13" t="s">
        <v>809</v>
      </c>
      <c r="D322" s="25" t="s">
        <v>825</v>
      </c>
      <c r="E322" s="13" t="s">
        <v>807</v>
      </c>
    </row>
    <row r="323" spans="1:5" s="13" customFormat="1" x14ac:dyDescent="0.25">
      <c r="A323" s="13" t="s">
        <v>819</v>
      </c>
      <c r="B323" s="13" t="s">
        <v>802</v>
      </c>
      <c r="C323" s="13" t="s">
        <v>817</v>
      </c>
      <c r="D323" s="25"/>
    </row>
    <row r="324" spans="1:5" s="13" customFormat="1" ht="60" x14ac:dyDescent="0.25">
      <c r="A324" s="13" t="s">
        <v>828</v>
      </c>
      <c r="B324" s="13" t="s">
        <v>802</v>
      </c>
      <c r="D324" s="25" t="s">
        <v>830</v>
      </c>
    </row>
    <row r="325" spans="1:5" s="13" customFormat="1" ht="75" x14ac:dyDescent="0.25">
      <c r="A325" s="13" t="s">
        <v>820</v>
      </c>
      <c r="B325" s="13" t="s">
        <v>802</v>
      </c>
      <c r="C325" s="13" t="s">
        <v>827</v>
      </c>
      <c r="D325" s="25" t="s">
        <v>829</v>
      </c>
      <c r="E325" s="13" t="s">
        <v>821</v>
      </c>
    </row>
    <row r="326" spans="1:5" s="13" customFormat="1" ht="45" x14ac:dyDescent="0.25">
      <c r="A326" s="13" t="s">
        <v>835</v>
      </c>
      <c r="B326" s="13" t="s">
        <v>802</v>
      </c>
      <c r="C326" s="13" t="s">
        <v>836</v>
      </c>
      <c r="D326" s="25" t="s">
        <v>850</v>
      </c>
      <c r="E326" s="13" t="s">
        <v>837</v>
      </c>
    </row>
    <row r="327" spans="1:5" s="13" customFormat="1" ht="45" x14ac:dyDescent="0.25">
      <c r="A327" s="13" t="s">
        <v>847</v>
      </c>
      <c r="B327" s="13" t="s">
        <v>802</v>
      </c>
      <c r="C327" s="13" t="s">
        <v>848</v>
      </c>
      <c r="D327" s="25" t="s">
        <v>850</v>
      </c>
      <c r="E327" s="13" t="s">
        <v>849</v>
      </c>
    </row>
    <row r="328" spans="1:5" s="13" customFormat="1" ht="75" x14ac:dyDescent="0.25">
      <c r="A328" s="13" t="s">
        <v>826</v>
      </c>
      <c r="B328" s="13" t="s">
        <v>802</v>
      </c>
      <c r="D328" s="25" t="s">
        <v>834</v>
      </c>
      <c r="E328" s="13" t="s">
        <v>821</v>
      </c>
    </row>
    <row r="329" spans="1:5" s="13" customFormat="1" ht="90" x14ac:dyDescent="0.25">
      <c r="A329" s="22" t="s">
        <v>833</v>
      </c>
      <c r="B329" s="13" t="s">
        <v>802</v>
      </c>
      <c r="C329" s="13" t="s">
        <v>838</v>
      </c>
      <c r="D329" s="25" t="s">
        <v>839</v>
      </c>
    </row>
    <row r="330" spans="1:5" s="13" customFormat="1" ht="45" x14ac:dyDescent="0.25">
      <c r="A330" s="22" t="s">
        <v>859</v>
      </c>
      <c r="B330" s="13" t="s">
        <v>802</v>
      </c>
      <c r="C330" s="13" t="s">
        <v>851</v>
      </c>
      <c r="D330" s="25" t="s">
        <v>852</v>
      </c>
    </row>
    <row r="331" spans="1:5" s="13" customFormat="1" ht="30" x14ac:dyDescent="0.25">
      <c r="A331" s="22" t="s">
        <v>858</v>
      </c>
      <c r="B331" s="13" t="s">
        <v>802</v>
      </c>
      <c r="C331" s="13" t="s">
        <v>851</v>
      </c>
      <c r="D331" s="25" t="s">
        <v>857</v>
      </c>
    </row>
    <row r="332" spans="1:5" s="13" customFormat="1" x14ac:dyDescent="0.25">
      <c r="A332" s="13" t="s">
        <v>810</v>
      </c>
      <c r="B332" s="13" t="s">
        <v>802</v>
      </c>
      <c r="C332" s="13" t="s">
        <v>809</v>
      </c>
      <c r="D332" s="25" t="s">
        <v>812</v>
      </c>
      <c r="E332" s="13" t="s">
        <v>811</v>
      </c>
    </row>
    <row r="333" spans="1:5" s="13" customFormat="1" x14ac:dyDescent="0.25">
      <c r="A333" s="13" t="s">
        <v>813</v>
      </c>
      <c r="B333" s="13" t="s">
        <v>802</v>
      </c>
      <c r="D333" s="25" t="s">
        <v>812</v>
      </c>
      <c r="E333" s="13" t="s">
        <v>816</v>
      </c>
    </row>
    <row r="334" spans="1:5" s="13" customFormat="1" x14ac:dyDescent="0.25">
      <c r="A334" s="13" t="s">
        <v>815</v>
      </c>
      <c r="B334" s="13" t="s">
        <v>802</v>
      </c>
      <c r="D334" s="25" t="s">
        <v>812</v>
      </c>
    </row>
    <row r="335" spans="1:5" ht="60" x14ac:dyDescent="0.25">
      <c r="A335" s="13" t="s">
        <v>842</v>
      </c>
      <c r="B335" s="13" t="s">
        <v>840</v>
      </c>
      <c r="C335" s="13" t="s">
        <v>838</v>
      </c>
      <c r="D335" s="25" t="s">
        <v>846</v>
      </c>
      <c r="E335" s="13" t="s">
        <v>845</v>
      </c>
    </row>
    <row r="336" spans="1:5" ht="60" x14ac:dyDescent="0.25">
      <c r="A336" s="13" t="s">
        <v>860</v>
      </c>
      <c r="B336" s="13" t="s">
        <v>840</v>
      </c>
      <c r="C336" s="13" t="s">
        <v>851</v>
      </c>
      <c r="D336" s="25" t="s">
        <v>861</v>
      </c>
      <c r="E336" s="13"/>
    </row>
    <row r="337" spans="1:5" ht="240" x14ac:dyDescent="0.25">
      <c r="A337" s="13" t="s">
        <v>873</v>
      </c>
      <c r="B337" s="13" t="s">
        <v>840</v>
      </c>
      <c r="C337" s="13" t="s">
        <v>851</v>
      </c>
      <c r="D337" s="25" t="s">
        <v>894</v>
      </c>
      <c r="E337" s="13"/>
    </row>
    <row r="338" spans="1:5" ht="90" x14ac:dyDescent="0.25">
      <c r="A338" s="13" t="s">
        <v>883</v>
      </c>
      <c r="B338" s="13" t="s">
        <v>840</v>
      </c>
      <c r="C338" s="13" t="s">
        <v>893</v>
      </c>
      <c r="D338" s="25" t="s">
        <v>897</v>
      </c>
      <c r="E338" s="13" t="s">
        <v>892</v>
      </c>
    </row>
    <row r="339" spans="1:5" ht="90" x14ac:dyDescent="0.25">
      <c r="A339" s="13" t="s">
        <v>896</v>
      </c>
      <c r="B339" s="13" t="s">
        <v>840</v>
      </c>
      <c r="C339" s="13" t="s">
        <v>895</v>
      </c>
      <c r="D339" s="25" t="s">
        <v>901</v>
      </c>
      <c r="E339" s="13"/>
    </row>
    <row r="340" spans="1:5" ht="105" x14ac:dyDescent="0.25">
      <c r="A340" s="13" t="s">
        <v>898</v>
      </c>
      <c r="B340" s="13" t="s">
        <v>840</v>
      </c>
      <c r="C340" s="13" t="s">
        <v>899</v>
      </c>
      <c r="D340" s="25" t="s">
        <v>900</v>
      </c>
      <c r="E340" s="13"/>
    </row>
    <row r="341" spans="1:5" ht="105" x14ac:dyDescent="0.25">
      <c r="A341" s="13" t="s">
        <v>906</v>
      </c>
      <c r="B341" s="13" t="s">
        <v>840</v>
      </c>
      <c r="C341">
        <v>7061977</v>
      </c>
      <c r="D341" s="25" t="s">
        <v>907</v>
      </c>
      <c r="E341" s="13"/>
    </row>
    <row r="342" spans="1:5" ht="105" x14ac:dyDescent="0.25">
      <c r="A342" s="13" t="s">
        <v>908</v>
      </c>
      <c r="B342" s="13" t="s">
        <v>840</v>
      </c>
      <c r="C342" t="s">
        <v>909</v>
      </c>
      <c r="D342" s="25" t="s">
        <v>910</v>
      </c>
      <c r="E342" s="13"/>
    </row>
    <row r="343" spans="1:5" ht="90" x14ac:dyDescent="0.25">
      <c r="A343" s="13" t="s">
        <v>911</v>
      </c>
      <c r="B343" s="13" t="s">
        <v>840</v>
      </c>
      <c r="C343" t="s">
        <v>909</v>
      </c>
      <c r="D343" s="25" t="s">
        <v>912</v>
      </c>
      <c r="E343" s="13"/>
    </row>
    <row r="344" spans="1:5" x14ac:dyDescent="0.25">
      <c r="A344" s="13"/>
      <c r="B344" s="13"/>
      <c r="D344" s="25"/>
      <c r="E344" s="13"/>
    </row>
    <row r="345" spans="1:5" ht="90" x14ac:dyDescent="0.25">
      <c r="A345" s="13" t="s">
        <v>913</v>
      </c>
      <c r="B345" s="13" t="s">
        <v>840</v>
      </c>
      <c r="C345" t="s">
        <v>909</v>
      </c>
      <c r="D345" s="25" t="s">
        <v>914</v>
      </c>
      <c r="E345" s="13"/>
    </row>
    <row r="346" spans="1:5" ht="75" x14ac:dyDescent="0.25">
      <c r="A346" s="15" t="s">
        <v>916</v>
      </c>
      <c r="B346" s="13" t="s">
        <v>840</v>
      </c>
      <c r="C346" t="s">
        <v>915</v>
      </c>
      <c r="D346" s="25" t="s">
        <v>917</v>
      </c>
      <c r="E346" s="13"/>
    </row>
    <row r="347" spans="1:5" x14ac:dyDescent="0.25">
      <c r="E347" s="13"/>
    </row>
    <row r="348" spans="1:5" ht="75" x14ac:dyDescent="0.25">
      <c r="A348" s="13"/>
      <c r="B348" s="13" t="s">
        <v>840</v>
      </c>
      <c r="C348" s="13" t="s">
        <v>899</v>
      </c>
      <c r="D348" s="25" t="s">
        <v>902</v>
      </c>
      <c r="E348" s="13"/>
    </row>
    <row r="349" spans="1:5" ht="105" x14ac:dyDescent="0.25">
      <c r="A349" s="13" t="s">
        <v>903</v>
      </c>
      <c r="B349" s="13" t="s">
        <v>840</v>
      </c>
      <c r="C349" s="13" t="s">
        <v>904</v>
      </c>
      <c r="D349" s="25" t="s">
        <v>905</v>
      </c>
      <c r="E349" s="13"/>
    </row>
    <row r="350" spans="1:5" x14ac:dyDescent="0.25">
      <c r="E350" s="13"/>
    </row>
    <row r="351" spans="1:5" ht="60" x14ac:dyDescent="0.25">
      <c r="A351" s="13" t="s">
        <v>843</v>
      </c>
      <c r="B351" s="13" t="s">
        <v>840</v>
      </c>
      <c r="C351" s="13" t="s">
        <v>838</v>
      </c>
      <c r="D351" s="25" t="s">
        <v>844</v>
      </c>
      <c r="E351" s="13"/>
    </row>
    <row r="352" spans="1:5" ht="75" x14ac:dyDescent="0.25">
      <c r="A352" s="13" t="s">
        <v>862</v>
      </c>
      <c r="B352" s="13" t="s">
        <v>840</v>
      </c>
      <c r="C352" s="13" t="s">
        <v>838</v>
      </c>
      <c r="D352" s="25" t="s">
        <v>863</v>
      </c>
      <c r="E352" s="13" t="s">
        <v>872</v>
      </c>
    </row>
    <row r="353" spans="1:5" ht="90" x14ac:dyDescent="0.25">
      <c r="A353" s="13" t="s">
        <v>874</v>
      </c>
      <c r="B353" s="13" t="s">
        <v>840</v>
      </c>
      <c r="C353" s="13" t="s">
        <v>838</v>
      </c>
      <c r="D353" s="25" t="s">
        <v>875</v>
      </c>
      <c r="E353" s="13"/>
    </row>
    <row r="354" spans="1:5" ht="75" x14ac:dyDescent="0.25">
      <c r="A354" s="13" t="s">
        <v>882</v>
      </c>
      <c r="B354" s="13" t="s">
        <v>840</v>
      </c>
      <c r="C354" s="13" t="s">
        <v>881</v>
      </c>
      <c r="D354" s="25" t="s">
        <v>884</v>
      </c>
      <c r="E354" s="13" t="s">
        <v>885</v>
      </c>
    </row>
    <row r="355" spans="1:5" ht="90" x14ac:dyDescent="0.25">
      <c r="A355" s="13" t="s">
        <v>886</v>
      </c>
      <c r="B355" s="13" t="s">
        <v>840</v>
      </c>
      <c r="C355" s="13" t="s">
        <v>881</v>
      </c>
      <c r="D355" s="25" t="s">
        <v>887</v>
      </c>
      <c r="E355" s="13" t="s">
        <v>888</v>
      </c>
    </row>
    <row r="356" spans="1:5" ht="90" x14ac:dyDescent="0.25">
      <c r="A356" s="13" t="s">
        <v>889</v>
      </c>
      <c r="B356" s="13" t="s">
        <v>840</v>
      </c>
      <c r="C356" s="13" t="s">
        <v>881</v>
      </c>
      <c r="D356" s="25" t="s">
        <v>890</v>
      </c>
      <c r="E356" s="13"/>
    </row>
    <row r="357" spans="1:5" ht="30" x14ac:dyDescent="0.25">
      <c r="A357" s="13" t="s">
        <v>928</v>
      </c>
      <c r="B357" s="13" t="s">
        <v>840</v>
      </c>
      <c r="C357" s="13" t="s">
        <v>915</v>
      </c>
      <c r="D357" s="25" t="s">
        <v>931</v>
      </c>
      <c r="E357" s="13" t="s">
        <v>929</v>
      </c>
    </row>
    <row r="358" spans="1:5" ht="30" x14ac:dyDescent="0.25">
      <c r="A358" s="13" t="s">
        <v>928</v>
      </c>
      <c r="B358" s="13" t="s">
        <v>840</v>
      </c>
      <c r="C358" s="13" t="s">
        <v>915</v>
      </c>
      <c r="D358" s="25" t="s">
        <v>931</v>
      </c>
      <c r="E358" s="13" t="s">
        <v>930</v>
      </c>
    </row>
    <row r="359" spans="1:5" ht="75" x14ac:dyDescent="0.25">
      <c r="A359" s="14" t="s">
        <v>918</v>
      </c>
      <c r="B359" s="13" t="s">
        <v>840</v>
      </c>
      <c r="C359" s="13" t="s">
        <v>915</v>
      </c>
      <c r="D359" s="25" t="s">
        <v>1094</v>
      </c>
      <c r="E359" s="13" t="s">
        <v>919</v>
      </c>
    </row>
    <row r="360" spans="1:5" ht="30" x14ac:dyDescent="0.25">
      <c r="A360" s="15" t="s">
        <v>940</v>
      </c>
      <c r="B360" s="13" t="s">
        <v>840</v>
      </c>
      <c r="C360" s="13" t="s">
        <v>938</v>
      </c>
      <c r="D360" s="25" t="s">
        <v>945</v>
      </c>
      <c r="E360" s="13" t="s">
        <v>954</v>
      </c>
    </row>
    <row r="361" spans="1:5" ht="60" x14ac:dyDescent="0.25">
      <c r="A361" s="15" t="s">
        <v>947</v>
      </c>
      <c r="B361" s="13" t="s">
        <v>840</v>
      </c>
      <c r="C361" s="13" t="s">
        <v>942</v>
      </c>
      <c r="D361" s="25" t="s">
        <v>953</v>
      </c>
      <c r="E361" s="12" t="s">
        <v>955</v>
      </c>
    </row>
    <row r="362" spans="1:5" ht="120" x14ac:dyDescent="0.25">
      <c r="A362" s="14" t="s">
        <v>934</v>
      </c>
      <c r="B362" s="13" t="s">
        <v>840</v>
      </c>
      <c r="C362" s="13" t="s">
        <v>933</v>
      </c>
      <c r="D362" s="25" t="s">
        <v>1095</v>
      </c>
      <c r="E362" s="13" t="s">
        <v>937</v>
      </c>
    </row>
    <row r="363" spans="1:5" ht="120" x14ac:dyDescent="0.25">
      <c r="A363" s="14" t="s">
        <v>946</v>
      </c>
      <c r="B363" s="13" t="s">
        <v>840</v>
      </c>
      <c r="C363" s="13" t="s">
        <v>942</v>
      </c>
      <c r="D363" s="25" t="s">
        <v>1096</v>
      </c>
      <c r="E363" s="13" t="s">
        <v>948</v>
      </c>
    </row>
    <row r="364" spans="1:5" ht="45" x14ac:dyDescent="0.25">
      <c r="A364" s="15" t="s">
        <v>958</v>
      </c>
      <c r="B364" s="13" t="s">
        <v>840</v>
      </c>
      <c r="C364" s="13" t="s">
        <v>956</v>
      </c>
      <c r="D364" s="25" t="s">
        <v>957</v>
      </c>
      <c r="E364" s="13"/>
    </row>
    <row r="365" spans="1:5" ht="45" x14ac:dyDescent="0.25">
      <c r="A365" s="14" t="s">
        <v>967</v>
      </c>
      <c r="B365" s="13" t="s">
        <v>840</v>
      </c>
      <c r="C365" s="13" t="s">
        <v>956</v>
      </c>
      <c r="D365" s="25" t="s">
        <v>969</v>
      </c>
      <c r="E365" s="13"/>
    </row>
    <row r="366" spans="1:5" ht="30" x14ac:dyDescent="0.25">
      <c r="A366" s="14" t="s">
        <v>968</v>
      </c>
      <c r="B366" s="13" t="s">
        <v>840</v>
      </c>
      <c r="C366" s="13" t="s">
        <v>956</v>
      </c>
      <c r="D366" s="25" t="s">
        <v>970</v>
      </c>
      <c r="E366" s="13"/>
    </row>
    <row r="367" spans="1:5" x14ac:dyDescent="0.25">
      <c r="A367" s="14" t="s">
        <v>974</v>
      </c>
      <c r="B367" s="13" t="s">
        <v>971</v>
      </c>
      <c r="C367" s="13"/>
      <c r="D367" s="25" t="s">
        <v>975</v>
      </c>
      <c r="E367" s="13"/>
    </row>
    <row r="368" spans="1:5" x14ac:dyDescent="0.25">
      <c r="A368" s="14"/>
      <c r="B368" s="13"/>
      <c r="C368" s="13"/>
      <c r="D368" s="25"/>
      <c r="E368" s="13"/>
    </row>
    <row r="369" spans="1:5" x14ac:dyDescent="0.25">
      <c r="A369" s="14"/>
      <c r="B369" s="13"/>
      <c r="C369" s="13"/>
      <c r="D369" s="25"/>
      <c r="E369" s="13"/>
    </row>
    <row r="370" spans="1:5" x14ac:dyDescent="0.25">
      <c r="A370" s="14"/>
      <c r="B370" s="13"/>
      <c r="C370" s="13"/>
      <c r="D370" s="25"/>
      <c r="E370" s="13"/>
    </row>
    <row r="371" spans="1:5" x14ac:dyDescent="0.25">
      <c r="A371" s="14"/>
      <c r="B371" s="13"/>
      <c r="C371" s="13"/>
      <c r="D371" s="25"/>
      <c r="E371" s="13"/>
    </row>
    <row r="372" spans="1:5" ht="90" x14ac:dyDescent="0.25">
      <c r="A372" s="13" t="s">
        <v>1023</v>
      </c>
      <c r="B372" s="13" t="s">
        <v>971</v>
      </c>
      <c r="C372" s="13" t="s">
        <v>1022</v>
      </c>
      <c r="D372" s="25" t="s">
        <v>978</v>
      </c>
      <c r="E372" s="13"/>
    </row>
    <row r="373" spans="1:5" ht="105" x14ac:dyDescent="0.25">
      <c r="A373" s="13" t="s">
        <v>1024</v>
      </c>
      <c r="B373" s="13" t="s">
        <v>971</v>
      </c>
      <c r="C373" s="13" t="s">
        <v>1022</v>
      </c>
      <c r="D373" s="25" t="s">
        <v>1025</v>
      </c>
      <c r="E373" s="13"/>
    </row>
    <row r="374" spans="1:5" ht="105" x14ac:dyDescent="0.25">
      <c r="A374" s="13" t="s">
        <v>1057</v>
      </c>
      <c r="B374" s="13" t="s">
        <v>971</v>
      </c>
      <c r="C374" s="13" t="s">
        <v>1022</v>
      </c>
      <c r="D374" s="25" t="s">
        <v>1058</v>
      </c>
      <c r="E374" s="13"/>
    </row>
    <row r="375" spans="1:5" x14ac:dyDescent="0.25">
      <c r="A375" s="13" t="s">
        <v>1117</v>
      </c>
      <c r="B375" s="13" t="s">
        <v>1087</v>
      </c>
      <c r="C375" s="13" t="s">
        <v>1118</v>
      </c>
      <c r="D375" s="25" t="s">
        <v>1119</v>
      </c>
      <c r="E375" s="13" t="s">
        <v>1122</v>
      </c>
    </row>
    <row r="376" spans="1:5" ht="45" x14ac:dyDescent="0.25">
      <c r="A376" s="13" t="s">
        <v>1129</v>
      </c>
      <c r="B376" s="13" t="s">
        <v>1087</v>
      </c>
      <c r="C376" s="13" t="s">
        <v>1118</v>
      </c>
      <c r="D376" s="25" t="s">
        <v>1130</v>
      </c>
      <c r="E376" s="12" t="s">
        <v>1133</v>
      </c>
    </row>
    <row r="377" spans="1:5" ht="75" x14ac:dyDescent="0.25">
      <c r="A377" s="13" t="s">
        <v>1219</v>
      </c>
      <c r="B377" s="13" t="s">
        <v>1087</v>
      </c>
      <c r="C377" s="34" t="s">
        <v>1187</v>
      </c>
      <c r="D377" s="25" t="s">
        <v>1055</v>
      </c>
      <c r="E377" s="40" t="s">
        <v>1221</v>
      </c>
    </row>
    <row r="378" spans="1:5" ht="45" x14ac:dyDescent="0.25">
      <c r="A378" s="13" t="s">
        <v>1223</v>
      </c>
      <c r="B378" s="13" t="s">
        <v>1087</v>
      </c>
      <c r="C378" s="34" t="s">
        <v>1210</v>
      </c>
      <c r="D378" s="25" t="s">
        <v>1055</v>
      </c>
      <c r="E378" s="40" t="s">
        <v>1224</v>
      </c>
    </row>
    <row r="379" spans="1:5" ht="75" x14ac:dyDescent="0.25">
      <c r="A379" s="13" t="s">
        <v>1228</v>
      </c>
      <c r="B379" s="13" t="s">
        <v>1087</v>
      </c>
      <c r="C379" s="41" t="s">
        <v>1222</v>
      </c>
      <c r="D379" s="25" t="s">
        <v>1055</v>
      </c>
      <c r="E379" s="40" t="s">
        <v>1229</v>
      </c>
    </row>
    <row r="380" spans="1:5" ht="30" x14ac:dyDescent="0.25">
      <c r="A380" s="13" t="s">
        <v>1281</v>
      </c>
      <c r="B380" s="13" t="s">
        <v>1087</v>
      </c>
      <c r="C380" s="34" t="s">
        <v>1282</v>
      </c>
      <c r="D380" s="25" t="s">
        <v>1055</v>
      </c>
      <c r="E380" s="40" t="s">
        <v>1283</v>
      </c>
    </row>
    <row r="381" spans="1:5" ht="60" x14ac:dyDescent="0.25">
      <c r="A381" s="13" t="s">
        <v>1288</v>
      </c>
      <c r="B381" s="13" t="s">
        <v>1087</v>
      </c>
      <c r="C381" s="34" t="s">
        <v>1301</v>
      </c>
      <c r="D381" s="25" t="s">
        <v>1055</v>
      </c>
      <c r="E381" s="40" t="s">
        <v>1291</v>
      </c>
    </row>
    <row r="382" spans="1:5" x14ac:dyDescent="0.25">
      <c r="A382" s="13"/>
      <c r="B382" s="13"/>
      <c r="C382" s="34"/>
      <c r="D382" s="25"/>
      <c r="E382" s="40"/>
    </row>
    <row r="383" spans="1:5" x14ac:dyDescent="0.25">
      <c r="A383" s="13"/>
      <c r="B383" s="13"/>
      <c r="C383" s="34"/>
      <c r="D383" s="25"/>
      <c r="E383" s="40"/>
    </row>
    <row r="384" spans="1:5" x14ac:dyDescent="0.25">
      <c r="A384" s="13"/>
      <c r="B384" s="13"/>
      <c r="C384" s="34"/>
      <c r="D384" s="25"/>
      <c r="E384" s="40"/>
    </row>
    <row r="385" spans="1:5" x14ac:dyDescent="0.25">
      <c r="A385" s="13"/>
      <c r="B385" s="13"/>
      <c r="C385" s="13"/>
      <c r="D385" s="25"/>
      <c r="E385" s="12"/>
    </row>
    <row r="386" spans="1:5" ht="30" x14ac:dyDescent="0.25">
      <c r="A386" s="13" t="s">
        <v>1121</v>
      </c>
      <c r="B386" s="13" t="s">
        <v>1087</v>
      </c>
      <c r="C386" s="13" t="s">
        <v>1118</v>
      </c>
      <c r="D386" s="25" t="s">
        <v>1120</v>
      </c>
      <c r="E386" s="13" t="s">
        <v>1123</v>
      </c>
    </row>
    <row r="387" spans="1:5" ht="45" x14ac:dyDescent="0.25">
      <c r="A387" s="13" t="s">
        <v>1131</v>
      </c>
      <c r="B387" s="13" t="s">
        <v>1087</v>
      </c>
      <c r="C387" s="13" t="s">
        <v>1118</v>
      </c>
      <c r="D387" s="25" t="s">
        <v>1132</v>
      </c>
      <c r="E387" s="13" t="s">
        <v>1134</v>
      </c>
    </row>
    <row r="388" spans="1:5" x14ac:dyDescent="0.25">
      <c r="A388" s="14" t="s">
        <v>1147</v>
      </c>
      <c r="B388" s="13" t="s">
        <v>1087</v>
      </c>
      <c r="C388" s="34" t="s">
        <v>1146</v>
      </c>
      <c r="D388" s="25" t="s">
        <v>982</v>
      </c>
      <c r="E388" s="34" t="s">
        <v>1152</v>
      </c>
    </row>
    <row r="389" spans="1:5" ht="30" x14ac:dyDescent="0.25">
      <c r="A389" s="14" t="s">
        <v>1148</v>
      </c>
      <c r="B389" s="13" t="s">
        <v>1087</v>
      </c>
      <c r="C389" s="34" t="s">
        <v>1146</v>
      </c>
      <c r="D389" s="25" t="s">
        <v>1055</v>
      </c>
      <c r="E389" s="34" t="s">
        <v>1153</v>
      </c>
    </row>
    <row r="390" spans="1:5" x14ac:dyDescent="0.25">
      <c r="A390" s="14" t="s">
        <v>1149</v>
      </c>
      <c r="B390" s="13" t="s">
        <v>1087</v>
      </c>
      <c r="C390" s="34" t="s">
        <v>1146</v>
      </c>
      <c r="D390" s="25"/>
      <c r="E390" s="13" t="s">
        <v>1154</v>
      </c>
    </row>
    <row r="391" spans="1:5" ht="30" x14ac:dyDescent="0.25">
      <c r="A391" s="14" t="s">
        <v>1150</v>
      </c>
      <c r="B391" s="13" t="s">
        <v>1087</v>
      </c>
      <c r="C391" s="34" t="s">
        <v>1146</v>
      </c>
      <c r="D391" s="25" t="s">
        <v>1139</v>
      </c>
      <c r="E391" s="13" t="s">
        <v>1155</v>
      </c>
    </row>
    <row r="392" spans="1:5" ht="60" x14ac:dyDescent="0.25">
      <c r="A392" s="14" t="s">
        <v>1151</v>
      </c>
      <c r="B392" s="13" t="s">
        <v>1087</v>
      </c>
      <c r="C392" s="34" t="s">
        <v>1146</v>
      </c>
      <c r="D392" s="25" t="s">
        <v>1141</v>
      </c>
      <c r="E392" s="13" t="s">
        <v>1156</v>
      </c>
    </row>
    <row r="393" spans="1:5" ht="90" x14ac:dyDescent="0.25">
      <c r="A393" s="14" t="s">
        <v>1218</v>
      </c>
      <c r="B393" s="13" t="s">
        <v>1087</v>
      </c>
      <c r="C393" s="34" t="s">
        <v>1187</v>
      </c>
      <c r="D393" s="25" t="s">
        <v>1141</v>
      </c>
      <c r="E393" s="12" t="s">
        <v>1287</v>
      </c>
    </row>
    <row r="394" spans="1:5" ht="60" x14ac:dyDescent="0.25">
      <c r="A394" s="13" t="s">
        <v>1225</v>
      </c>
      <c r="B394" s="13" t="s">
        <v>1087</v>
      </c>
      <c r="C394" s="13" t="s">
        <v>1210</v>
      </c>
      <c r="D394" s="25" t="s">
        <v>1141</v>
      </c>
      <c r="E394" s="12" t="s">
        <v>1226</v>
      </c>
    </row>
    <row r="395" spans="1:5" ht="60" x14ac:dyDescent="0.25">
      <c r="A395" s="13" t="s">
        <v>1230</v>
      </c>
      <c r="B395" s="13" t="s">
        <v>1087</v>
      </c>
      <c r="C395" s="41" t="s">
        <v>1222</v>
      </c>
      <c r="D395" s="25" t="s">
        <v>1141</v>
      </c>
      <c r="E395" s="12" t="s">
        <v>1231</v>
      </c>
    </row>
    <row r="396" spans="1:5" x14ac:dyDescent="0.25">
      <c r="A396" s="13" t="s">
        <v>1280</v>
      </c>
      <c r="B396" s="13" t="s">
        <v>1087</v>
      </c>
      <c r="C396" s="41" t="s">
        <v>1285</v>
      </c>
      <c r="D396" s="25"/>
      <c r="E396" s="12" t="s">
        <v>1283</v>
      </c>
    </row>
    <row r="397" spans="1:5" ht="60" x14ac:dyDescent="0.25">
      <c r="A397" s="13" t="s">
        <v>1284</v>
      </c>
      <c r="B397" s="13" t="s">
        <v>1087</v>
      </c>
      <c r="C397" s="34" t="s">
        <v>1277</v>
      </c>
      <c r="D397" s="25" t="s">
        <v>1141</v>
      </c>
      <c r="E397" s="13" t="s">
        <v>1286</v>
      </c>
    </row>
    <row r="398" spans="1:5" x14ac:dyDescent="0.25">
      <c r="A398" s="13" t="s">
        <v>1289</v>
      </c>
      <c r="B398" s="13"/>
      <c r="C398" s="34" t="s">
        <v>1301</v>
      </c>
      <c r="D398" s="25"/>
      <c r="E398" s="13"/>
    </row>
    <row r="399" spans="1:5" ht="60" x14ac:dyDescent="0.25">
      <c r="A399" s="13"/>
      <c r="B399" s="13"/>
      <c r="C399" s="34"/>
      <c r="D399" s="25"/>
      <c r="E399" s="12" t="s">
        <v>1290</v>
      </c>
    </row>
    <row r="400" spans="1:5" x14ac:dyDescent="0.25">
      <c r="A400" s="13"/>
      <c r="B400" s="13"/>
      <c r="C400" s="34"/>
      <c r="D400" s="25"/>
      <c r="E400" s="13"/>
    </row>
    <row r="401" spans="1:5" x14ac:dyDescent="0.25">
      <c r="A401" s="13"/>
      <c r="B401" s="13"/>
      <c r="C401" s="13"/>
      <c r="D401" s="25"/>
      <c r="E401" s="13"/>
    </row>
    <row r="402" spans="1:5" x14ac:dyDescent="0.25">
      <c r="A402" s="14" t="s">
        <v>981</v>
      </c>
      <c r="B402" s="13" t="s">
        <v>971</v>
      </c>
      <c r="C402" s="32" t="s">
        <v>985</v>
      </c>
      <c r="D402" s="25" t="s">
        <v>982</v>
      </c>
      <c r="E402" s="13"/>
    </row>
    <row r="403" spans="1:5" x14ac:dyDescent="0.25">
      <c r="A403" s="14" t="s">
        <v>984</v>
      </c>
      <c r="B403" s="13" t="s">
        <v>971</v>
      </c>
      <c r="C403" s="13" t="s">
        <v>983</v>
      </c>
      <c r="D403" s="25" t="s">
        <v>982</v>
      </c>
      <c r="E403" s="13"/>
    </row>
    <row r="404" spans="1:5" ht="90" x14ac:dyDescent="0.25">
      <c r="A404" s="14" t="s">
        <v>976</v>
      </c>
      <c r="B404" s="13" t="s">
        <v>971</v>
      </c>
      <c r="C404" s="13" t="s">
        <v>977</v>
      </c>
      <c r="D404" s="25" t="s">
        <v>978</v>
      </c>
    </row>
    <row r="405" spans="1:5" x14ac:dyDescent="0.25">
      <c r="A405" s="14" t="s">
        <v>986</v>
      </c>
      <c r="B405" s="13" t="s">
        <v>971</v>
      </c>
      <c r="C405" s="13" t="s">
        <v>987</v>
      </c>
      <c r="D405" s="25" t="s">
        <v>982</v>
      </c>
      <c r="E405" s="13"/>
    </row>
    <row r="406" spans="1:5" x14ac:dyDescent="0.25">
      <c r="A406" s="14" t="s">
        <v>988</v>
      </c>
      <c r="B406" s="13" t="s">
        <v>971</v>
      </c>
      <c r="C406" s="13" t="s">
        <v>989</v>
      </c>
      <c r="D406" s="25" t="s">
        <v>982</v>
      </c>
      <c r="E406" s="13"/>
    </row>
    <row r="407" spans="1:5" x14ac:dyDescent="0.25">
      <c r="A407" s="14" t="s">
        <v>988</v>
      </c>
      <c r="B407" s="13" t="s">
        <v>971</v>
      </c>
      <c r="C407" s="13" t="s">
        <v>990</v>
      </c>
      <c r="D407" s="25" t="s">
        <v>982</v>
      </c>
      <c r="E407" s="13"/>
    </row>
    <row r="408" spans="1:5" x14ac:dyDescent="0.25">
      <c r="A408" s="14" t="s">
        <v>992</v>
      </c>
      <c r="B408" s="13" t="s">
        <v>971</v>
      </c>
      <c r="C408" s="13" t="s">
        <v>991</v>
      </c>
      <c r="D408" s="25" t="s">
        <v>982</v>
      </c>
      <c r="E408" s="13"/>
    </row>
    <row r="409" spans="1:5" x14ac:dyDescent="0.25">
      <c r="A409" s="14" t="s">
        <v>999</v>
      </c>
      <c r="B409" s="13" t="s">
        <v>971</v>
      </c>
      <c r="C409" s="13" t="s">
        <v>998</v>
      </c>
      <c r="D409" s="25" t="s">
        <v>982</v>
      </c>
      <c r="E409" s="13"/>
    </row>
    <row r="410" spans="1:5" x14ac:dyDescent="0.25">
      <c r="A410" s="14" t="s">
        <v>1000</v>
      </c>
      <c r="B410" s="13" t="s">
        <v>971</v>
      </c>
      <c r="C410" s="13" t="s">
        <v>1001</v>
      </c>
      <c r="D410" s="25" t="s">
        <v>982</v>
      </c>
      <c r="E410" s="13"/>
    </row>
    <row r="411" spans="1:5" x14ac:dyDescent="0.25">
      <c r="A411" s="14" t="s">
        <v>1002</v>
      </c>
      <c r="B411" s="13" t="s">
        <v>971</v>
      </c>
      <c r="C411" s="13" t="s">
        <v>1003</v>
      </c>
      <c r="D411" s="25" t="s">
        <v>982</v>
      </c>
      <c r="E411" s="13"/>
    </row>
    <row r="412" spans="1:5" x14ac:dyDescent="0.25">
      <c r="A412" s="14" t="s">
        <v>1004</v>
      </c>
      <c r="B412" s="13" t="s">
        <v>971</v>
      </c>
      <c r="C412" s="13" t="s">
        <v>1005</v>
      </c>
      <c r="D412" s="25" t="s">
        <v>982</v>
      </c>
      <c r="E412" s="13"/>
    </row>
    <row r="413" spans="1:5" x14ac:dyDescent="0.25">
      <c r="A413" s="14" t="s">
        <v>1006</v>
      </c>
      <c r="B413" s="13" t="s">
        <v>971</v>
      </c>
      <c r="C413" s="13" t="s">
        <v>1007</v>
      </c>
      <c r="D413" s="25" t="s">
        <v>982</v>
      </c>
      <c r="E413" s="13"/>
    </row>
    <row r="414" spans="1:5" x14ac:dyDescent="0.25">
      <c r="A414" s="14" t="s">
        <v>1008</v>
      </c>
      <c r="B414" s="13" t="s">
        <v>971</v>
      </c>
      <c r="C414" s="13" t="s">
        <v>1009</v>
      </c>
      <c r="D414" s="25" t="s">
        <v>982</v>
      </c>
      <c r="E414" s="13"/>
    </row>
    <row r="415" spans="1:5" x14ac:dyDescent="0.25">
      <c r="A415" s="16" t="s">
        <v>1011</v>
      </c>
      <c r="B415" s="16" t="s">
        <v>971</v>
      </c>
      <c r="C415" s="16" t="s">
        <v>1010</v>
      </c>
      <c r="D415" s="33" t="s">
        <v>982</v>
      </c>
      <c r="E415" s="13"/>
    </row>
    <row r="416" spans="1:5" x14ac:dyDescent="0.25">
      <c r="A416" s="14" t="s">
        <v>1012</v>
      </c>
      <c r="B416" s="13" t="s">
        <v>971</v>
      </c>
      <c r="C416" s="13" t="s">
        <v>1019</v>
      </c>
      <c r="D416" s="25" t="s">
        <v>982</v>
      </c>
      <c r="E416" s="13"/>
    </row>
    <row r="417" spans="1:5" x14ac:dyDescent="0.25">
      <c r="A417" s="14" t="s">
        <v>1020</v>
      </c>
      <c r="B417" s="13" t="s">
        <v>971</v>
      </c>
      <c r="C417" s="13" t="s">
        <v>1021</v>
      </c>
      <c r="D417" s="25" t="s">
        <v>982</v>
      </c>
      <c r="E417" s="13"/>
    </row>
    <row r="418" spans="1:5" x14ac:dyDescent="0.25">
      <c r="A418" s="14" t="s">
        <v>1026</v>
      </c>
      <c r="B418" s="13" t="s">
        <v>971</v>
      </c>
      <c r="C418" s="13" t="s">
        <v>1021</v>
      </c>
      <c r="D418" s="25" t="s">
        <v>982</v>
      </c>
      <c r="E418" s="13" t="s">
        <v>1027</v>
      </c>
    </row>
    <row r="419" spans="1:5" x14ac:dyDescent="0.25">
      <c r="A419" s="14" t="s">
        <v>1028</v>
      </c>
      <c r="B419" s="13" t="s">
        <v>971</v>
      </c>
      <c r="C419" s="13" t="s">
        <v>1029</v>
      </c>
      <c r="D419" s="25" t="s">
        <v>982</v>
      </c>
      <c r="E419" s="13"/>
    </row>
    <row r="420" spans="1:5" x14ac:dyDescent="0.25">
      <c r="A420" s="14" t="s">
        <v>1030</v>
      </c>
      <c r="B420" s="13" t="s">
        <v>971</v>
      </c>
      <c r="C420" s="13">
        <v>5103323</v>
      </c>
      <c r="D420" s="25" t="s">
        <v>982</v>
      </c>
      <c r="E420" s="13"/>
    </row>
    <row r="421" spans="1:5" x14ac:dyDescent="0.25">
      <c r="A421" s="14" t="s">
        <v>1031</v>
      </c>
      <c r="B421" s="13" t="s">
        <v>971</v>
      </c>
      <c r="C421" s="13" t="s">
        <v>1032</v>
      </c>
      <c r="D421" s="25" t="s">
        <v>982</v>
      </c>
      <c r="E421" s="13"/>
    </row>
    <row r="422" spans="1:5" x14ac:dyDescent="0.25">
      <c r="A422" s="14" t="s">
        <v>1034</v>
      </c>
      <c r="B422" s="13" t="s">
        <v>971</v>
      </c>
      <c r="C422" s="13" t="s">
        <v>1033</v>
      </c>
      <c r="D422" s="25" t="s">
        <v>982</v>
      </c>
      <c r="E422" s="13"/>
    </row>
    <row r="423" spans="1:5" s="35" customFormat="1" x14ac:dyDescent="0.25">
      <c r="A423" s="14" t="s">
        <v>1035</v>
      </c>
      <c r="B423" s="13" t="s">
        <v>971</v>
      </c>
      <c r="C423" s="13" t="s">
        <v>1036</v>
      </c>
      <c r="D423" s="25" t="s">
        <v>982</v>
      </c>
      <c r="E423" s="34"/>
    </row>
    <row r="424" spans="1:5" s="35" customFormat="1" x14ac:dyDescent="0.25">
      <c r="A424" s="14" t="s">
        <v>1038</v>
      </c>
      <c r="B424" s="13" t="s">
        <v>971</v>
      </c>
      <c r="C424" s="13" t="s">
        <v>1037</v>
      </c>
      <c r="D424" s="25" t="s">
        <v>982</v>
      </c>
      <c r="E424" s="34"/>
    </row>
    <row r="425" spans="1:5" s="35" customFormat="1" x14ac:dyDescent="0.25">
      <c r="A425" s="14" t="s">
        <v>1039</v>
      </c>
      <c r="B425" s="13" t="s">
        <v>971</v>
      </c>
      <c r="C425" s="13" t="s">
        <v>1040</v>
      </c>
      <c r="D425" s="25" t="s">
        <v>982</v>
      </c>
      <c r="E425" s="34"/>
    </row>
    <row r="426" spans="1:5" s="35" customFormat="1" x14ac:dyDescent="0.25">
      <c r="A426" s="14" t="s">
        <v>1041</v>
      </c>
      <c r="B426" s="13" t="s">
        <v>971</v>
      </c>
      <c r="C426" s="13" t="s">
        <v>1042</v>
      </c>
      <c r="D426" s="25" t="s">
        <v>982</v>
      </c>
      <c r="E426" s="34"/>
    </row>
    <row r="427" spans="1:5" s="35" customFormat="1" x14ac:dyDescent="0.25">
      <c r="A427" s="14" t="s">
        <v>1044</v>
      </c>
      <c r="B427" s="13" t="s">
        <v>971</v>
      </c>
      <c r="C427" s="13" t="s">
        <v>1043</v>
      </c>
      <c r="D427" s="25" t="s">
        <v>982</v>
      </c>
      <c r="E427" s="34"/>
    </row>
    <row r="428" spans="1:5" s="35" customFormat="1" x14ac:dyDescent="0.25">
      <c r="A428" s="14" t="s">
        <v>1049</v>
      </c>
      <c r="B428" s="13" t="s">
        <v>971</v>
      </c>
      <c r="C428" s="13" t="s">
        <v>1048</v>
      </c>
      <c r="D428" s="25" t="s">
        <v>982</v>
      </c>
      <c r="E428" s="34"/>
    </row>
    <row r="429" spans="1:5" s="35" customFormat="1" x14ac:dyDescent="0.25">
      <c r="A429" s="14" t="s">
        <v>1051</v>
      </c>
      <c r="B429" s="13" t="s">
        <v>971</v>
      </c>
      <c r="C429" s="13" t="s">
        <v>1053</v>
      </c>
      <c r="D429" s="25" t="s">
        <v>982</v>
      </c>
      <c r="E429" s="34"/>
    </row>
    <row r="430" spans="1:5" s="35" customFormat="1" ht="30" x14ac:dyDescent="0.25">
      <c r="A430" s="14" t="s">
        <v>1054</v>
      </c>
      <c r="B430" s="13" t="s">
        <v>971</v>
      </c>
      <c r="C430" s="13" t="s">
        <v>1053</v>
      </c>
      <c r="D430" s="25" t="s">
        <v>1055</v>
      </c>
    </row>
    <row r="431" spans="1:5" s="35" customFormat="1" x14ac:dyDescent="0.25">
      <c r="A431" s="14" t="s">
        <v>1060</v>
      </c>
      <c r="B431" s="13" t="s">
        <v>971</v>
      </c>
      <c r="C431" s="34" t="s">
        <v>1059</v>
      </c>
      <c r="D431" s="25" t="s">
        <v>982</v>
      </c>
      <c r="E431" s="34"/>
    </row>
    <row r="432" spans="1:5" s="35" customFormat="1" ht="30" x14ac:dyDescent="0.25">
      <c r="A432" s="14" t="s">
        <v>1061</v>
      </c>
      <c r="B432" s="13" t="s">
        <v>971</v>
      </c>
      <c r="C432" s="34" t="s">
        <v>1059</v>
      </c>
      <c r="D432" s="25" t="s">
        <v>1055</v>
      </c>
      <c r="E432" s="34"/>
    </row>
    <row r="433" spans="1:5" s="35" customFormat="1" x14ac:dyDescent="0.25">
      <c r="A433" s="14" t="s">
        <v>1064</v>
      </c>
      <c r="B433" s="13" t="s">
        <v>971</v>
      </c>
      <c r="C433" s="34" t="s">
        <v>1065</v>
      </c>
      <c r="D433" s="25" t="s">
        <v>982</v>
      </c>
      <c r="E433" s="34"/>
    </row>
    <row r="434" spans="1:5" s="35" customFormat="1" ht="30" x14ac:dyDescent="0.25">
      <c r="A434" s="14" t="s">
        <v>1070</v>
      </c>
      <c r="B434" s="13" t="s">
        <v>971</v>
      </c>
      <c r="C434" s="34" t="s">
        <v>1065</v>
      </c>
      <c r="D434" s="25" t="s">
        <v>1055</v>
      </c>
      <c r="E434" s="34"/>
    </row>
    <row r="435" spans="1:5" s="35" customFormat="1" x14ac:dyDescent="0.25">
      <c r="A435" s="14" t="s">
        <v>1077</v>
      </c>
      <c r="B435" s="13" t="s">
        <v>971</v>
      </c>
      <c r="C435" s="34" t="s">
        <v>1076</v>
      </c>
      <c r="D435" s="25" t="s">
        <v>982</v>
      </c>
      <c r="E435" s="34"/>
    </row>
    <row r="436" spans="1:5" s="35" customFormat="1" ht="30" x14ac:dyDescent="0.25">
      <c r="A436" s="14" t="s">
        <v>1071</v>
      </c>
      <c r="B436" s="13" t="s">
        <v>971</v>
      </c>
      <c r="C436" s="34" t="s">
        <v>1076</v>
      </c>
      <c r="D436" s="25" t="s">
        <v>1055</v>
      </c>
      <c r="E436" s="34" t="s">
        <v>1084</v>
      </c>
    </row>
    <row r="437" spans="1:5" s="35" customFormat="1" x14ac:dyDescent="0.25">
      <c r="A437" s="14" t="s">
        <v>1109</v>
      </c>
      <c r="B437" s="13" t="s">
        <v>971</v>
      </c>
      <c r="C437" s="34" t="s">
        <v>1111</v>
      </c>
      <c r="D437" s="25" t="s">
        <v>982</v>
      </c>
      <c r="E437" s="34" t="s">
        <v>1110</v>
      </c>
    </row>
    <row r="438" spans="1:5" s="35" customFormat="1" x14ac:dyDescent="0.25">
      <c r="A438" s="14"/>
      <c r="B438" s="13"/>
      <c r="C438" s="34"/>
      <c r="D438" s="25"/>
    </row>
    <row r="439" spans="1:5" s="35" customFormat="1" x14ac:dyDescent="0.25">
      <c r="A439" s="14" t="s">
        <v>1125</v>
      </c>
      <c r="B439" s="13" t="s">
        <v>1087</v>
      </c>
      <c r="C439" s="34" t="s">
        <v>1124</v>
      </c>
      <c r="D439" s="25" t="s">
        <v>982</v>
      </c>
      <c r="E439" s="34" t="s">
        <v>1127</v>
      </c>
    </row>
    <row r="440" spans="1:5" s="35" customFormat="1" x14ac:dyDescent="0.25">
      <c r="A440" s="14" t="s">
        <v>1135</v>
      </c>
      <c r="B440" s="13" t="s">
        <v>1087</v>
      </c>
      <c r="C440" s="34" t="s">
        <v>1146</v>
      </c>
      <c r="D440" s="25" t="s">
        <v>982</v>
      </c>
      <c r="E440" s="34" t="s">
        <v>1142</v>
      </c>
    </row>
    <row r="441" spans="1:5" s="35" customFormat="1" ht="30" x14ac:dyDescent="0.25">
      <c r="A441" s="14" t="s">
        <v>1136</v>
      </c>
      <c r="B441" s="13" t="s">
        <v>1087</v>
      </c>
      <c r="C441" s="34" t="s">
        <v>1146</v>
      </c>
      <c r="D441" s="25" t="s">
        <v>1055</v>
      </c>
      <c r="E441" s="34" t="s">
        <v>1143</v>
      </c>
    </row>
    <row r="442" spans="1:5" s="35" customFormat="1" ht="30" x14ac:dyDescent="0.25">
      <c r="A442" s="14" t="s">
        <v>1183</v>
      </c>
      <c r="B442" s="13" t="s">
        <v>1087</v>
      </c>
      <c r="C442" s="34" t="s">
        <v>1185</v>
      </c>
      <c r="D442" s="25" t="s">
        <v>1055</v>
      </c>
      <c r="E442" s="34" t="s">
        <v>1184</v>
      </c>
    </row>
    <row r="443" spans="1:5" s="35" customFormat="1" ht="75" x14ac:dyDescent="0.25">
      <c r="A443" s="14" t="s">
        <v>1186</v>
      </c>
      <c r="B443" s="13" t="s">
        <v>1087</v>
      </c>
      <c r="C443" s="34" t="s">
        <v>1187</v>
      </c>
      <c r="D443" s="25" t="s">
        <v>1055</v>
      </c>
      <c r="E443" s="40" t="s">
        <v>1189</v>
      </c>
    </row>
    <row r="444" spans="1:5" s="35" customFormat="1" ht="75" x14ac:dyDescent="0.25">
      <c r="A444" s="14" t="s">
        <v>1220</v>
      </c>
      <c r="B444" s="13" t="s">
        <v>1087</v>
      </c>
      <c r="C444" s="41" t="s">
        <v>1222</v>
      </c>
      <c r="D444" s="25" t="s">
        <v>1055</v>
      </c>
      <c r="E444" s="40" t="s">
        <v>1227</v>
      </c>
    </row>
    <row r="445" spans="1:5" s="35" customFormat="1" ht="60" x14ac:dyDescent="0.25">
      <c r="A445" s="14" t="s">
        <v>1236</v>
      </c>
      <c r="B445" s="13" t="s">
        <v>1087</v>
      </c>
      <c r="C445" s="34" t="s">
        <v>1237</v>
      </c>
      <c r="D445" s="25" t="s">
        <v>1055</v>
      </c>
      <c r="E445" s="40" t="s">
        <v>1275</v>
      </c>
    </row>
    <row r="446" spans="1:5" s="35" customFormat="1" ht="60" x14ac:dyDescent="0.25">
      <c r="A446" s="14" t="s">
        <v>1276</v>
      </c>
      <c r="B446" s="13" t="s">
        <v>1087</v>
      </c>
      <c r="C446" s="34" t="s">
        <v>1277</v>
      </c>
      <c r="D446" s="25" t="s">
        <v>1055</v>
      </c>
      <c r="E446" s="40" t="s">
        <v>1278</v>
      </c>
    </row>
    <row r="447" spans="1:5" s="35" customFormat="1" ht="30" x14ac:dyDescent="0.25">
      <c r="A447" s="14" t="s">
        <v>1344</v>
      </c>
      <c r="B447" s="13" t="s">
        <v>1087</v>
      </c>
      <c r="C447" s="13" t="s">
        <v>1336</v>
      </c>
      <c r="D447" s="25" t="s">
        <v>1055</v>
      </c>
      <c r="E447" s="13"/>
    </row>
    <row r="448" spans="1:5" ht="60" x14ac:dyDescent="0.25">
      <c r="A448" t="s">
        <v>1345</v>
      </c>
      <c r="B448" t="s">
        <v>1087</v>
      </c>
      <c r="C448" t="s">
        <v>1346</v>
      </c>
      <c r="D448" s="42" t="s">
        <v>1055</v>
      </c>
      <c r="E448" s="11" t="s">
        <v>1347</v>
      </c>
    </row>
    <row r="449" spans="1:5" ht="60" x14ac:dyDescent="0.25">
      <c r="A449" s="43" t="s">
        <v>1350</v>
      </c>
      <c r="B449" t="s">
        <v>1087</v>
      </c>
      <c r="C449" t="s">
        <v>1351</v>
      </c>
      <c r="D449" s="42" t="s">
        <v>1055</v>
      </c>
      <c r="E449" s="11" t="s">
        <v>1349</v>
      </c>
    </row>
    <row r="450" spans="1:5" x14ac:dyDescent="0.25">
      <c r="D450" s="42"/>
      <c r="E450" s="11"/>
    </row>
    <row r="451" spans="1:5" x14ac:dyDescent="0.25">
      <c r="D451" s="42"/>
      <c r="E451" s="11"/>
    </row>
    <row r="452" spans="1:5" x14ac:dyDescent="0.25">
      <c r="D452" s="42"/>
      <c r="E452" s="11"/>
    </row>
    <row r="453" spans="1:5" x14ac:dyDescent="0.25">
      <c r="D453" s="42"/>
      <c r="E453" s="11"/>
    </row>
    <row r="454" spans="1:5" ht="105" x14ac:dyDescent="0.25">
      <c r="A454" s="14" t="s">
        <v>980</v>
      </c>
      <c r="B454" s="13" t="s">
        <v>971</v>
      </c>
      <c r="C454" s="13" t="s">
        <v>977</v>
      </c>
      <c r="D454" s="25" t="s">
        <v>979</v>
      </c>
      <c r="E454" s="13"/>
    </row>
    <row r="455" spans="1:5" x14ac:dyDescent="0.25">
      <c r="A455" s="14" t="s">
        <v>1045</v>
      </c>
      <c r="B455" s="13" t="s">
        <v>971</v>
      </c>
      <c r="C455" s="13" t="s">
        <v>1042</v>
      </c>
      <c r="D455" s="25" t="s">
        <v>1113</v>
      </c>
      <c r="E455" s="13"/>
    </row>
    <row r="456" spans="1:5" x14ac:dyDescent="0.25">
      <c r="A456" s="14" t="s">
        <v>1046</v>
      </c>
      <c r="B456" s="13" t="s">
        <v>971</v>
      </c>
      <c r="C456" s="13" t="s">
        <v>1043</v>
      </c>
      <c r="D456" s="25" t="s">
        <v>1113</v>
      </c>
      <c r="E456" s="13" t="s">
        <v>1047</v>
      </c>
    </row>
    <row r="457" spans="1:5" x14ac:dyDescent="0.25">
      <c r="A457" s="14" t="s">
        <v>1050</v>
      </c>
      <c r="B457" s="13" t="s">
        <v>971</v>
      </c>
      <c r="C457" s="13" t="s">
        <v>1048</v>
      </c>
      <c r="D457" s="25" t="s">
        <v>1113</v>
      </c>
      <c r="E457" s="13"/>
    </row>
    <row r="458" spans="1:5" x14ac:dyDescent="0.25">
      <c r="A458" s="14" t="s">
        <v>1052</v>
      </c>
      <c r="B458" s="13" t="s">
        <v>971</v>
      </c>
      <c r="C458" s="13" t="s">
        <v>1053</v>
      </c>
      <c r="D458" s="25" t="s">
        <v>1113</v>
      </c>
      <c r="E458" s="13"/>
    </row>
    <row r="459" spans="1:5" ht="30" x14ac:dyDescent="0.25">
      <c r="A459" s="14" t="s">
        <v>1056</v>
      </c>
      <c r="B459" s="13" t="s">
        <v>971</v>
      </c>
      <c r="C459" s="13" t="s">
        <v>1053</v>
      </c>
      <c r="D459" s="25" t="s">
        <v>1114</v>
      </c>
      <c r="E459" s="13"/>
    </row>
    <row r="460" spans="1:5" x14ac:dyDescent="0.25">
      <c r="A460" s="14" t="s">
        <v>1062</v>
      </c>
      <c r="B460" s="13" t="s">
        <v>971</v>
      </c>
      <c r="C460" s="34" t="s">
        <v>1059</v>
      </c>
      <c r="D460" s="25" t="s">
        <v>1113</v>
      </c>
      <c r="E460" s="13"/>
    </row>
    <row r="461" spans="1:5" ht="30" x14ac:dyDescent="0.25">
      <c r="A461" s="14" t="s">
        <v>1063</v>
      </c>
      <c r="B461" s="13" t="s">
        <v>971</v>
      </c>
      <c r="C461" s="34" t="s">
        <v>1059</v>
      </c>
      <c r="D461" s="25" t="s">
        <v>1114</v>
      </c>
      <c r="E461" s="13"/>
    </row>
    <row r="462" spans="1:5" x14ac:dyDescent="0.25">
      <c r="A462" s="14" t="s">
        <v>1072</v>
      </c>
      <c r="B462" s="13" t="s">
        <v>971</v>
      </c>
      <c r="C462" s="34" t="s">
        <v>1065</v>
      </c>
      <c r="D462" s="25" t="s">
        <v>1113</v>
      </c>
      <c r="E462" s="13"/>
    </row>
    <row r="463" spans="1:5" ht="30" x14ac:dyDescent="0.25">
      <c r="A463" s="14" t="s">
        <v>1073</v>
      </c>
      <c r="B463" s="13" t="s">
        <v>971</v>
      </c>
      <c r="C463" s="34" t="s">
        <v>1065</v>
      </c>
      <c r="D463" s="25" t="s">
        <v>1114</v>
      </c>
      <c r="E463" s="13"/>
    </row>
    <row r="464" spans="1:5" ht="30" x14ac:dyDescent="0.25">
      <c r="A464" s="14" t="s">
        <v>1082</v>
      </c>
      <c r="B464" s="13" t="s">
        <v>971</v>
      </c>
      <c r="C464" s="34" t="s">
        <v>1076</v>
      </c>
      <c r="D464" s="25" t="s">
        <v>1115</v>
      </c>
      <c r="E464" s="13" t="s">
        <v>1083</v>
      </c>
    </row>
    <row r="465" spans="1:5" ht="30" x14ac:dyDescent="0.25">
      <c r="A465" s="14" t="s">
        <v>1074</v>
      </c>
      <c r="B465" s="13" t="s">
        <v>971</v>
      </c>
      <c r="C465" s="34" t="s">
        <v>1076</v>
      </c>
      <c r="D465" s="25" t="s">
        <v>1114</v>
      </c>
      <c r="E465" s="13" t="s">
        <v>1075</v>
      </c>
    </row>
    <row r="466" spans="1:5" x14ac:dyDescent="0.25">
      <c r="A466" s="14" t="s">
        <v>1112</v>
      </c>
      <c r="B466" s="13" t="s">
        <v>971</v>
      </c>
      <c r="C466" s="34" t="s">
        <v>1116</v>
      </c>
      <c r="D466" s="25" t="s">
        <v>1113</v>
      </c>
    </row>
    <row r="467" spans="1:5" x14ac:dyDescent="0.25">
      <c r="A467" s="14"/>
      <c r="B467" s="13"/>
      <c r="C467" s="34"/>
      <c r="D467" s="25"/>
    </row>
    <row r="468" spans="1:5" x14ac:dyDescent="0.25">
      <c r="A468" s="14" t="s">
        <v>1126</v>
      </c>
      <c r="B468" s="13" t="s">
        <v>1087</v>
      </c>
      <c r="C468" s="34" t="s">
        <v>1124</v>
      </c>
      <c r="D468" s="25" t="s">
        <v>1113</v>
      </c>
      <c r="E468" s="13" t="s">
        <v>1128</v>
      </c>
    </row>
    <row r="469" spans="1:5" x14ac:dyDescent="0.25">
      <c r="A469" s="14" t="s">
        <v>1137</v>
      </c>
      <c r="B469" s="13" t="s">
        <v>1087</v>
      </c>
      <c r="C469" s="34" t="s">
        <v>1146</v>
      </c>
      <c r="D469" s="25"/>
      <c r="E469" s="13" t="s">
        <v>1144</v>
      </c>
    </row>
    <row r="470" spans="1:5" ht="30" x14ac:dyDescent="0.25">
      <c r="A470" s="14" t="s">
        <v>1138</v>
      </c>
      <c r="B470" s="13" t="s">
        <v>1087</v>
      </c>
      <c r="C470" s="34" t="s">
        <v>1146</v>
      </c>
      <c r="D470" s="25" t="s">
        <v>1139</v>
      </c>
      <c r="E470" s="13" t="s">
        <v>1145</v>
      </c>
    </row>
    <row r="471" spans="1:5" ht="60" x14ac:dyDescent="0.25">
      <c r="A471" s="14" t="s">
        <v>1140</v>
      </c>
      <c r="B471" s="13" t="s">
        <v>1087</v>
      </c>
      <c r="C471" s="34" t="s">
        <v>1146</v>
      </c>
      <c r="D471" s="25" t="s">
        <v>1141</v>
      </c>
    </row>
    <row r="472" spans="1:5" ht="75" x14ac:dyDescent="0.25">
      <c r="A472" s="14" t="s">
        <v>1188</v>
      </c>
      <c r="B472" s="13" t="s">
        <v>1087</v>
      </c>
      <c r="C472" s="34" t="s">
        <v>1187</v>
      </c>
      <c r="D472" s="25" t="s">
        <v>1141</v>
      </c>
      <c r="E472" s="12" t="s">
        <v>1190</v>
      </c>
    </row>
    <row r="473" spans="1:5" ht="60" x14ac:dyDescent="0.25">
      <c r="A473" s="14" t="s">
        <v>1279</v>
      </c>
      <c r="B473" s="13" t="s">
        <v>1087</v>
      </c>
      <c r="C473" s="34" t="s">
        <v>1277</v>
      </c>
      <c r="D473" s="25" t="s">
        <v>1141</v>
      </c>
      <c r="E473" s="13"/>
    </row>
    <row r="474" spans="1:5" ht="60" x14ac:dyDescent="0.25">
      <c r="A474" s="15" t="s">
        <v>1352</v>
      </c>
      <c r="B474" s="13" t="s">
        <v>1087</v>
      </c>
      <c r="C474" s="13" t="s">
        <v>1351</v>
      </c>
      <c r="D474" s="25" t="s">
        <v>1141</v>
      </c>
      <c r="E474" s="13" t="s">
        <v>1353</v>
      </c>
    </row>
    <row r="475" spans="1:5" x14ac:dyDescent="0.25">
      <c r="A475" s="14"/>
      <c r="D475" s="25"/>
      <c r="E475" s="13"/>
    </row>
    <row r="476" spans="1:5" x14ac:dyDescent="0.25">
      <c r="A476" s="14"/>
      <c r="D476" s="25"/>
      <c r="E476" s="13"/>
    </row>
    <row r="477" spans="1:5" x14ac:dyDescent="0.25">
      <c r="A477" s="14"/>
      <c r="D477" s="25"/>
      <c r="E477" s="13"/>
    </row>
    <row r="478" spans="1:5" ht="90" x14ac:dyDescent="0.25">
      <c r="A478" s="14" t="s">
        <v>963</v>
      </c>
      <c r="B478" s="13" t="s">
        <v>840</v>
      </c>
      <c r="C478" s="13" t="s">
        <v>956</v>
      </c>
      <c r="D478" s="25" t="s">
        <v>1097</v>
      </c>
      <c r="E478" s="13"/>
    </row>
    <row r="479" spans="1:5" ht="120" x14ac:dyDescent="0.25">
      <c r="A479" s="14" t="s">
        <v>964</v>
      </c>
      <c r="B479" s="13" t="s">
        <v>840</v>
      </c>
      <c r="C479" s="13" t="s">
        <v>956</v>
      </c>
      <c r="D479" s="25" t="s">
        <v>1098</v>
      </c>
      <c r="E479" s="13"/>
    </row>
    <row r="480" spans="1:5" ht="75" x14ac:dyDescent="0.25">
      <c r="A480" s="14" t="s">
        <v>926</v>
      </c>
      <c r="B480" s="13" t="s">
        <v>891</v>
      </c>
      <c r="C480" s="13" t="s">
        <v>915</v>
      </c>
      <c r="D480" s="25" t="s">
        <v>1099</v>
      </c>
      <c r="E480" s="13" t="s">
        <v>927</v>
      </c>
    </row>
    <row r="481" spans="1:5" ht="60" x14ac:dyDescent="0.25">
      <c r="A481" s="14" t="s">
        <v>100</v>
      </c>
      <c r="B481" s="13" t="s">
        <v>840</v>
      </c>
      <c r="C481" s="13" t="s">
        <v>915</v>
      </c>
      <c r="D481" s="25" t="s">
        <v>1100</v>
      </c>
      <c r="E481" s="13" t="s">
        <v>920</v>
      </c>
    </row>
    <row r="482" spans="1:5" ht="45" x14ac:dyDescent="0.25">
      <c r="A482" s="14" t="s">
        <v>939</v>
      </c>
      <c r="B482" s="13" t="s">
        <v>840</v>
      </c>
      <c r="C482" s="13" t="s">
        <v>938</v>
      </c>
      <c r="D482" s="25" t="s">
        <v>951</v>
      </c>
      <c r="E482" s="13" t="s">
        <v>941</v>
      </c>
    </row>
    <row r="483" spans="1:5" ht="60" x14ac:dyDescent="0.25">
      <c r="A483" s="14" t="s">
        <v>943</v>
      </c>
      <c r="B483" s="13" t="s">
        <v>840</v>
      </c>
      <c r="C483" s="13" t="s">
        <v>942</v>
      </c>
      <c r="D483" s="25" t="s">
        <v>944</v>
      </c>
      <c r="E483" s="12" t="s">
        <v>952</v>
      </c>
    </row>
    <row r="484" spans="1:5" ht="75" x14ac:dyDescent="0.25">
      <c r="A484" s="14" t="s">
        <v>932</v>
      </c>
      <c r="B484" s="13" t="s">
        <v>840</v>
      </c>
      <c r="C484" s="13" t="s">
        <v>915</v>
      </c>
      <c r="D484" s="25" t="s">
        <v>1101</v>
      </c>
      <c r="E484" s="13"/>
    </row>
    <row r="485" spans="1:5" ht="90" x14ac:dyDescent="0.25">
      <c r="A485" s="14" t="s">
        <v>935</v>
      </c>
      <c r="B485" s="13" t="s">
        <v>840</v>
      </c>
      <c r="C485" s="13" t="s">
        <v>915</v>
      </c>
      <c r="D485" s="25" t="s">
        <v>978</v>
      </c>
      <c r="E485" s="13" t="s">
        <v>936</v>
      </c>
    </row>
    <row r="486" spans="1:5" ht="120" x14ac:dyDescent="0.25">
      <c r="A486" s="14" t="s">
        <v>949</v>
      </c>
      <c r="B486" s="13" t="s">
        <v>840</v>
      </c>
      <c r="C486" s="13" t="s">
        <v>942</v>
      </c>
      <c r="D486" s="25" t="s">
        <v>1102</v>
      </c>
      <c r="E486" s="13" t="s">
        <v>950</v>
      </c>
    </row>
    <row r="487" spans="1:5" ht="45" x14ac:dyDescent="0.25">
      <c r="A487" s="15" t="s">
        <v>959</v>
      </c>
      <c r="B487" s="13" t="s">
        <v>840</v>
      </c>
      <c r="C487" s="13" t="s">
        <v>956</v>
      </c>
      <c r="D487" s="25" t="s">
        <v>960</v>
      </c>
      <c r="E487" s="13"/>
    </row>
    <row r="488" spans="1:5" ht="90" x14ac:dyDescent="0.25">
      <c r="A488" s="14" t="s">
        <v>962</v>
      </c>
      <c r="B488" s="13" t="s">
        <v>840</v>
      </c>
      <c r="C488" s="13" t="s">
        <v>956</v>
      </c>
      <c r="D488" s="25" t="s">
        <v>961</v>
      </c>
      <c r="E488" s="13"/>
    </row>
    <row r="489" spans="1:5" ht="90" x14ac:dyDescent="0.25">
      <c r="A489" s="14" t="s">
        <v>965</v>
      </c>
      <c r="B489" s="13" t="s">
        <v>840</v>
      </c>
      <c r="C489" s="13" t="s">
        <v>956</v>
      </c>
      <c r="D489" s="25" t="s">
        <v>966</v>
      </c>
      <c r="E489" s="13"/>
    </row>
    <row r="490" spans="1:5" ht="75" x14ac:dyDescent="0.25">
      <c r="A490" s="13" t="s">
        <v>925</v>
      </c>
      <c r="B490" s="13" t="s">
        <v>891</v>
      </c>
      <c r="C490" s="13" t="s">
        <v>915</v>
      </c>
      <c r="D490" s="25" t="s">
        <v>1103</v>
      </c>
      <c r="E490" s="13"/>
    </row>
    <row r="491" spans="1:5" ht="75" x14ac:dyDescent="0.25">
      <c r="A491" s="22" t="s">
        <v>996</v>
      </c>
      <c r="B491" s="13" t="s">
        <v>971</v>
      </c>
      <c r="C491" s="13" t="s">
        <v>991</v>
      </c>
      <c r="D491" s="25" t="s">
        <v>1104</v>
      </c>
      <c r="E491" s="13" t="s">
        <v>995</v>
      </c>
    </row>
    <row r="492" spans="1:5" ht="75" x14ac:dyDescent="0.25">
      <c r="A492" s="14" t="s">
        <v>1018</v>
      </c>
      <c r="B492" s="13" t="s">
        <v>971</v>
      </c>
      <c r="C492" s="13" t="s">
        <v>1013</v>
      </c>
      <c r="D492" s="25" t="s">
        <v>1104</v>
      </c>
      <c r="E492" s="13" t="s">
        <v>1017</v>
      </c>
    </row>
    <row r="493" spans="1:5" ht="75" x14ac:dyDescent="0.25">
      <c r="A493" s="14" t="s">
        <v>1068</v>
      </c>
      <c r="B493" s="13" t="s">
        <v>971</v>
      </c>
      <c r="C493" s="13" t="s">
        <v>1065</v>
      </c>
      <c r="D493" s="25" t="s">
        <v>1104</v>
      </c>
      <c r="E493" s="13" t="s">
        <v>1069</v>
      </c>
    </row>
    <row r="494" spans="1:5" ht="75" x14ac:dyDescent="0.25">
      <c r="A494" s="22" t="s">
        <v>1079</v>
      </c>
      <c r="B494" s="13" t="s">
        <v>971</v>
      </c>
      <c r="C494" s="34" t="s">
        <v>1076</v>
      </c>
      <c r="D494" s="25" t="s">
        <v>1104</v>
      </c>
      <c r="E494" s="13" t="s">
        <v>1078</v>
      </c>
    </row>
    <row r="496" spans="1:5" x14ac:dyDescent="0.25">
      <c r="A496" s="22"/>
      <c r="B496" s="13"/>
      <c r="C496" s="13"/>
      <c r="D496" s="25"/>
      <c r="E496" s="13"/>
    </row>
    <row r="497" spans="1:5" ht="75" x14ac:dyDescent="0.25">
      <c r="A497" s="18" t="s">
        <v>926</v>
      </c>
      <c r="B497" s="18" t="s">
        <v>971</v>
      </c>
      <c r="C497" s="18" t="s">
        <v>991</v>
      </c>
      <c r="D497" s="33" t="s">
        <v>1104</v>
      </c>
      <c r="E497" s="13" t="s">
        <v>993</v>
      </c>
    </row>
    <row r="498" spans="1:5" ht="75" x14ac:dyDescent="0.25">
      <c r="A498" s="22" t="s">
        <v>997</v>
      </c>
      <c r="B498" s="13" t="s">
        <v>971</v>
      </c>
      <c r="C498" s="13" t="s">
        <v>991</v>
      </c>
      <c r="D498" s="25" t="s">
        <v>1016</v>
      </c>
      <c r="E498" s="13" t="s">
        <v>993</v>
      </c>
    </row>
    <row r="499" spans="1:5" ht="75" x14ac:dyDescent="0.25">
      <c r="A499" s="14" t="s">
        <v>1014</v>
      </c>
      <c r="B499" s="13" t="s">
        <v>971</v>
      </c>
      <c r="C499" s="13" t="s">
        <v>1013</v>
      </c>
      <c r="D499" s="25" t="s">
        <v>1016</v>
      </c>
      <c r="E499" s="13" t="s">
        <v>1015</v>
      </c>
    </row>
    <row r="500" spans="1:5" ht="75" x14ac:dyDescent="0.25">
      <c r="A500" s="14" t="s">
        <v>1066</v>
      </c>
      <c r="B500" s="13" t="s">
        <v>971</v>
      </c>
      <c r="C500" s="13" t="s">
        <v>1065</v>
      </c>
      <c r="D500" s="25" t="s">
        <v>1016</v>
      </c>
      <c r="E500" s="13" t="s">
        <v>1067</v>
      </c>
    </row>
    <row r="501" spans="1:5" ht="75" x14ac:dyDescent="0.25">
      <c r="A501" s="22" t="s">
        <v>1080</v>
      </c>
      <c r="B501" s="13" t="s">
        <v>971</v>
      </c>
      <c r="C501" s="34" t="s">
        <v>1076</v>
      </c>
      <c r="D501" s="25" t="s">
        <v>1016</v>
      </c>
      <c r="E501" s="13" t="s">
        <v>1081</v>
      </c>
    </row>
    <row r="502" spans="1:5" x14ac:dyDescent="0.25">
      <c r="A502" s="22"/>
      <c r="B502" s="13"/>
      <c r="C502" s="13"/>
      <c r="D502" s="25"/>
      <c r="E502" s="13"/>
    </row>
    <row r="503" spans="1:5" x14ac:dyDescent="0.25">
      <c r="A503" s="22"/>
      <c r="B503" s="13"/>
      <c r="C503" s="13"/>
      <c r="D503" s="25"/>
      <c r="E503" s="13"/>
    </row>
    <row r="504" spans="1:5" ht="75" x14ac:dyDescent="0.25">
      <c r="A504" s="22" t="s">
        <v>994</v>
      </c>
      <c r="B504" s="13" t="s">
        <v>1087</v>
      </c>
      <c r="C504" s="34" t="s">
        <v>1106</v>
      </c>
      <c r="D504" s="25" t="s">
        <v>1016</v>
      </c>
      <c r="E504" s="12" t="s">
        <v>1108</v>
      </c>
    </row>
    <row r="505" spans="1:5" x14ac:dyDescent="0.25">
      <c r="A505" s="13"/>
      <c r="B505" s="13"/>
      <c r="C505" s="13"/>
      <c r="D505" s="14"/>
      <c r="E505" s="13"/>
    </row>
    <row r="506" spans="1:5" x14ac:dyDescent="0.25">
      <c r="A506" s="13"/>
      <c r="B506" s="13"/>
      <c r="C506" s="13"/>
      <c r="D506" s="14"/>
      <c r="E506" s="13"/>
    </row>
    <row r="507" spans="1:5" ht="75" x14ac:dyDescent="0.25">
      <c r="A507" s="22" t="s">
        <v>1088</v>
      </c>
      <c r="B507" s="13" t="s">
        <v>1087</v>
      </c>
      <c r="C507" s="34" t="s">
        <v>1106</v>
      </c>
      <c r="D507" s="25" t="s">
        <v>1104</v>
      </c>
      <c r="E507" s="12" t="s">
        <v>1107</v>
      </c>
    </row>
    <row r="508" spans="1:5" ht="120" x14ac:dyDescent="0.25">
      <c r="A508" s="13" t="s">
        <v>1162</v>
      </c>
      <c r="B508" s="13" t="s">
        <v>1157</v>
      </c>
      <c r="C508" s="13" t="s">
        <v>1159</v>
      </c>
      <c r="D508" s="25" t="s">
        <v>1161</v>
      </c>
      <c r="E508" s="13" t="s">
        <v>1160</v>
      </c>
    </row>
    <row r="509" spans="1:5" ht="120" x14ac:dyDescent="0.25">
      <c r="A509" s="13" t="s">
        <v>1168</v>
      </c>
      <c r="B509" s="13" t="s">
        <v>1157</v>
      </c>
      <c r="C509" s="13" t="s">
        <v>1159</v>
      </c>
      <c r="D509" s="25" t="s">
        <v>1169</v>
      </c>
      <c r="E509" s="13"/>
    </row>
    <row r="510" spans="1:5" ht="30" x14ac:dyDescent="0.25">
      <c r="A510" s="13" t="s">
        <v>1178</v>
      </c>
      <c r="B510" s="13" t="s">
        <v>1157</v>
      </c>
      <c r="C510" s="13" t="s">
        <v>1176</v>
      </c>
      <c r="D510" s="25" t="s">
        <v>1177</v>
      </c>
      <c r="E510" s="13" t="s">
        <v>1181</v>
      </c>
    </row>
    <row r="511" spans="1:5" ht="45" x14ac:dyDescent="0.25">
      <c r="A511" s="13" t="s">
        <v>1179</v>
      </c>
      <c r="B511" s="13" t="s">
        <v>1157</v>
      </c>
      <c r="C511" s="13" t="s">
        <v>1176</v>
      </c>
      <c r="D511" s="25" t="s">
        <v>1180</v>
      </c>
      <c r="E511" s="13" t="s">
        <v>1182</v>
      </c>
    </row>
    <row r="512" spans="1:5" ht="120" x14ac:dyDescent="0.25">
      <c r="A512" s="13" t="s">
        <v>1164</v>
      </c>
      <c r="B512" s="13" t="s">
        <v>1087</v>
      </c>
      <c r="C512" s="13" t="s">
        <v>1159</v>
      </c>
      <c r="D512" s="25" t="s">
        <v>1166</v>
      </c>
      <c r="E512" s="13" t="s">
        <v>1167</v>
      </c>
    </row>
    <row r="513" spans="1:5" x14ac:dyDescent="0.25">
      <c r="A513" s="13" t="s">
        <v>1171</v>
      </c>
      <c r="B513" s="13" t="s">
        <v>1087</v>
      </c>
      <c r="C513" s="13" t="s">
        <v>1172</v>
      </c>
      <c r="D513" s="25" t="s">
        <v>1173</v>
      </c>
      <c r="E513" s="13"/>
    </row>
    <row r="514" spans="1:5" ht="120" x14ac:dyDescent="0.25">
      <c r="A514" s="13" t="s">
        <v>1163</v>
      </c>
      <c r="B514" s="13" t="s">
        <v>1087</v>
      </c>
      <c r="C514" s="13" t="s">
        <v>1159</v>
      </c>
      <c r="D514" s="25" t="s">
        <v>1165</v>
      </c>
      <c r="E514" s="12" t="s">
        <v>1170</v>
      </c>
    </row>
    <row r="515" spans="1:5" x14ac:dyDescent="0.25">
      <c r="A515" s="13" t="s">
        <v>1174</v>
      </c>
      <c r="B515" s="13" t="s">
        <v>1087</v>
      </c>
      <c r="C515" s="13" t="s">
        <v>1172</v>
      </c>
      <c r="D515" s="14" t="s">
        <v>1175</v>
      </c>
      <c r="E515" s="13"/>
    </row>
    <row r="516" spans="1:5" x14ac:dyDescent="0.25">
      <c r="A516" s="13" t="s">
        <v>1193</v>
      </c>
      <c r="B516" s="13" t="s">
        <v>1191</v>
      </c>
      <c r="C516" s="13" t="s">
        <v>1187</v>
      </c>
      <c r="D516" s="14"/>
      <c r="E516" s="13" t="s">
        <v>1195</v>
      </c>
    </row>
    <row r="517" spans="1:5" ht="30" x14ac:dyDescent="0.25">
      <c r="A517" s="18" t="s">
        <v>1194</v>
      </c>
      <c r="B517" s="18" t="s">
        <v>1191</v>
      </c>
      <c r="C517" s="18" t="s">
        <v>1210</v>
      </c>
      <c r="D517" s="33" t="s">
        <v>1198</v>
      </c>
      <c r="E517" s="18" t="s">
        <v>1201</v>
      </c>
    </row>
    <row r="518" spans="1:5" ht="30" x14ac:dyDescent="0.25">
      <c r="A518" s="13" t="s">
        <v>1200</v>
      </c>
      <c r="B518" s="13" t="s">
        <v>1191</v>
      </c>
      <c r="C518" s="13" t="s">
        <v>1210</v>
      </c>
      <c r="D518" s="25" t="s">
        <v>1202</v>
      </c>
      <c r="E518" s="13" t="s">
        <v>1203</v>
      </c>
    </row>
    <row r="519" spans="1:5" ht="30" x14ac:dyDescent="0.25">
      <c r="A519" s="13" t="s">
        <v>1204</v>
      </c>
      <c r="B519" s="13" t="s">
        <v>1191</v>
      </c>
      <c r="C519" s="13" t="s">
        <v>1210</v>
      </c>
      <c r="D519" s="25" t="s">
        <v>1197</v>
      </c>
      <c r="E519" s="13" t="s">
        <v>1205</v>
      </c>
    </row>
    <row r="520" spans="1:5" ht="30" x14ac:dyDescent="0.25">
      <c r="A520" s="13" t="s">
        <v>1206</v>
      </c>
      <c r="B520" s="13" t="s">
        <v>1191</v>
      </c>
      <c r="C520" s="13" t="s">
        <v>1210</v>
      </c>
      <c r="D520" s="25" t="s">
        <v>1198</v>
      </c>
      <c r="E520" s="13" t="s">
        <v>1215</v>
      </c>
    </row>
    <row r="521" spans="1:5" ht="30" x14ac:dyDescent="0.25">
      <c r="A521" s="13" t="s">
        <v>1196</v>
      </c>
      <c r="B521" s="13" t="s">
        <v>1087</v>
      </c>
      <c r="C521" s="13" t="s">
        <v>1210</v>
      </c>
      <c r="D521" s="25" t="s">
        <v>1202</v>
      </c>
      <c r="E521" s="13" t="s">
        <v>1208</v>
      </c>
    </row>
    <row r="522" spans="1:5" ht="30" x14ac:dyDescent="0.25">
      <c r="A522" s="13" t="s">
        <v>1199</v>
      </c>
      <c r="B522" s="13" t="s">
        <v>1087</v>
      </c>
      <c r="C522" s="13" t="s">
        <v>1210</v>
      </c>
      <c r="D522" s="25" t="s">
        <v>1197</v>
      </c>
      <c r="E522" s="13" t="s">
        <v>1209</v>
      </c>
    </row>
    <row r="523" spans="1:5" ht="90" x14ac:dyDescent="0.25">
      <c r="A523" s="13" t="s">
        <v>1207</v>
      </c>
      <c r="B523" s="13" t="s">
        <v>1087</v>
      </c>
      <c r="C523" s="13" t="s">
        <v>1210</v>
      </c>
      <c r="D523" s="25" t="s">
        <v>1198</v>
      </c>
      <c r="E523" s="12" t="s">
        <v>1211</v>
      </c>
    </row>
    <row r="524" spans="1:5" ht="45" x14ac:dyDescent="0.25">
      <c r="A524" s="13" t="s">
        <v>1212</v>
      </c>
      <c r="B524" s="13" t="s">
        <v>1191</v>
      </c>
      <c r="C524" s="13" t="s">
        <v>1210</v>
      </c>
      <c r="D524" s="25" t="s">
        <v>1214</v>
      </c>
      <c r="E524" s="13" t="s">
        <v>1216</v>
      </c>
    </row>
    <row r="525" spans="1:5" ht="45" x14ac:dyDescent="0.25">
      <c r="A525" s="13" t="s">
        <v>1213</v>
      </c>
      <c r="B525" s="13" t="s">
        <v>1087</v>
      </c>
      <c r="C525" s="13" t="s">
        <v>1210</v>
      </c>
      <c r="D525" s="25" t="s">
        <v>1214</v>
      </c>
      <c r="E525" s="13" t="s">
        <v>1217</v>
      </c>
    </row>
    <row r="526" spans="1:5" ht="30" x14ac:dyDescent="0.25">
      <c r="A526" s="13" t="s">
        <v>1232</v>
      </c>
      <c r="B526" s="13" t="s">
        <v>1191</v>
      </c>
      <c r="C526" s="34" t="s">
        <v>1237</v>
      </c>
      <c r="D526" s="25" t="s">
        <v>1198</v>
      </c>
      <c r="E526" s="13" t="s">
        <v>1235</v>
      </c>
    </row>
    <row r="527" spans="1:5" ht="30" x14ac:dyDescent="0.25">
      <c r="A527" s="13" t="s">
        <v>1233</v>
      </c>
      <c r="B527" s="13" t="s">
        <v>1087</v>
      </c>
      <c r="C527" s="34" t="s">
        <v>1237</v>
      </c>
      <c r="D527" s="25" t="s">
        <v>1198</v>
      </c>
      <c r="E527" s="13" t="s">
        <v>1234</v>
      </c>
    </row>
    <row r="528" spans="1:5" ht="45" x14ac:dyDescent="0.25">
      <c r="A528" s="13" t="s">
        <v>1245</v>
      </c>
      <c r="B528" s="13" t="s">
        <v>1087</v>
      </c>
      <c r="C528" s="34" t="s">
        <v>1237</v>
      </c>
      <c r="D528" s="25" t="s">
        <v>1246</v>
      </c>
      <c r="E528" s="13" t="s">
        <v>1247</v>
      </c>
    </row>
    <row r="529" spans="1:5" ht="30" x14ac:dyDescent="0.25">
      <c r="A529" s="13" t="s">
        <v>1334</v>
      </c>
      <c r="B529" s="13" t="s">
        <v>1087</v>
      </c>
      <c r="C529" s="34"/>
      <c r="D529" s="25" t="s">
        <v>1198</v>
      </c>
      <c r="E529" s="13" t="s">
        <v>1335</v>
      </c>
    </row>
    <row r="530" spans="1:5" ht="75" x14ac:dyDescent="0.25">
      <c r="A530" s="13" t="s">
        <v>1238</v>
      </c>
      <c r="B530" s="13" t="s">
        <v>1087</v>
      </c>
      <c r="C530" s="34" t="s">
        <v>1237</v>
      </c>
      <c r="D530" s="25" t="s">
        <v>1242</v>
      </c>
      <c r="E530" s="13" t="s">
        <v>1243</v>
      </c>
    </row>
    <row r="531" spans="1:5" ht="75" x14ac:dyDescent="0.25">
      <c r="A531" s="13" t="s">
        <v>1241</v>
      </c>
      <c r="B531" s="13" t="s">
        <v>1087</v>
      </c>
      <c r="C531" s="34" t="s">
        <v>1237</v>
      </c>
      <c r="D531" s="25" t="s">
        <v>1244</v>
      </c>
      <c r="E531" s="13" t="s">
        <v>1251</v>
      </c>
    </row>
    <row r="532" spans="1:5" ht="90" x14ac:dyDescent="0.25">
      <c r="A532" s="13" t="s">
        <v>1248</v>
      </c>
      <c r="B532" s="13" t="s">
        <v>1087</v>
      </c>
      <c r="C532" s="34" t="s">
        <v>1237</v>
      </c>
      <c r="D532" s="25" t="s">
        <v>1249</v>
      </c>
      <c r="E532" s="13" t="s">
        <v>1250</v>
      </c>
    </row>
    <row r="533" spans="1:5" ht="45" x14ac:dyDescent="0.25">
      <c r="A533" s="13" t="s">
        <v>1239</v>
      </c>
      <c r="B533" s="13" t="s">
        <v>1087</v>
      </c>
      <c r="C533" s="34" t="s">
        <v>1237</v>
      </c>
      <c r="D533" s="25" t="s">
        <v>1214</v>
      </c>
      <c r="E533" s="13" t="s">
        <v>1240</v>
      </c>
    </row>
    <row r="534" spans="1:5" x14ac:dyDescent="0.25">
      <c r="A534" s="13" t="s">
        <v>1255</v>
      </c>
      <c r="B534" t="s">
        <v>1252</v>
      </c>
      <c r="C534" s="34" t="s">
        <v>1237</v>
      </c>
      <c r="D534" s="25" t="s">
        <v>1259</v>
      </c>
      <c r="E534" s="13"/>
    </row>
    <row r="535" spans="1:5" x14ac:dyDescent="0.25">
      <c r="A535" s="13" t="s">
        <v>1258</v>
      </c>
      <c r="B535" t="s">
        <v>1256</v>
      </c>
      <c r="C535" s="34" t="s">
        <v>1237</v>
      </c>
      <c r="D535" s="14" t="s">
        <v>1259</v>
      </c>
      <c r="E535" s="13"/>
    </row>
    <row r="536" spans="1:5" x14ac:dyDescent="0.25">
      <c r="A536" s="13" t="s">
        <v>1260</v>
      </c>
      <c r="B536" t="s">
        <v>1257</v>
      </c>
      <c r="C536" s="34" t="s">
        <v>1237</v>
      </c>
      <c r="D536" s="14" t="s">
        <v>1259</v>
      </c>
      <c r="E536" s="13"/>
    </row>
    <row r="537" spans="1:5" x14ac:dyDescent="0.25">
      <c r="E537" s="13"/>
    </row>
    <row r="538" spans="1:5" x14ac:dyDescent="0.25">
      <c r="A538" s="13" t="s">
        <v>1294</v>
      </c>
      <c r="B538" t="s">
        <v>1257</v>
      </c>
      <c r="C538" s="34" t="s">
        <v>1237</v>
      </c>
      <c r="D538" s="25" t="s">
        <v>1295</v>
      </c>
      <c r="E538" s="13" t="s">
        <v>1296</v>
      </c>
    </row>
    <row r="539" spans="1:5" ht="60" x14ac:dyDescent="0.25">
      <c r="A539" s="13" t="s">
        <v>1264</v>
      </c>
      <c r="B539" t="s">
        <v>1257</v>
      </c>
      <c r="C539" s="34" t="s">
        <v>1237</v>
      </c>
      <c r="D539" s="25" t="s">
        <v>1270</v>
      </c>
      <c r="E539" s="13"/>
    </row>
    <row r="540" spans="1:5" ht="45" x14ac:dyDescent="0.25">
      <c r="A540" s="13" t="s">
        <v>1261</v>
      </c>
      <c r="B540" t="s">
        <v>1262</v>
      </c>
      <c r="C540" s="34" t="s">
        <v>1237</v>
      </c>
      <c r="D540" s="25" t="s">
        <v>1269</v>
      </c>
      <c r="E540" s="13"/>
    </row>
    <row r="541" spans="1:5" ht="60" x14ac:dyDescent="0.25">
      <c r="A541" s="13" t="s">
        <v>1263</v>
      </c>
      <c r="B541" t="s">
        <v>1262</v>
      </c>
      <c r="C541" s="34" t="s">
        <v>1237</v>
      </c>
      <c r="D541" s="25" t="s">
        <v>1270</v>
      </c>
      <c r="E541" s="13"/>
    </row>
    <row r="542" spans="1:5" ht="45" x14ac:dyDescent="0.25">
      <c r="A542" s="13" t="s">
        <v>1268</v>
      </c>
      <c r="B542" t="s">
        <v>1266</v>
      </c>
      <c r="C542" s="13"/>
      <c r="D542" s="25" t="s">
        <v>1269</v>
      </c>
      <c r="E542" s="13"/>
    </row>
    <row r="543" spans="1:5" x14ac:dyDescent="0.25">
      <c r="A543" s="13" t="s">
        <v>1310</v>
      </c>
      <c r="B543" t="s">
        <v>1274</v>
      </c>
      <c r="C543" s="13"/>
      <c r="D543" s="25"/>
      <c r="E543" s="13"/>
    </row>
    <row r="544" spans="1:5" ht="14.25" customHeight="1" x14ac:dyDescent="0.25">
      <c r="A544" s="13" t="s">
        <v>1298</v>
      </c>
      <c r="B544" t="s">
        <v>1297</v>
      </c>
      <c r="C544" s="13"/>
      <c r="D544" s="25" t="s">
        <v>1295</v>
      </c>
      <c r="E544" s="13"/>
    </row>
    <row r="545" spans="1:5" x14ac:dyDescent="0.25">
      <c r="A545" s="13" t="s">
        <v>1299</v>
      </c>
      <c r="B545" t="s">
        <v>1300</v>
      </c>
      <c r="C545" s="13"/>
      <c r="D545" s="14"/>
      <c r="E545" s="13"/>
    </row>
    <row r="546" spans="1:5" ht="30" x14ac:dyDescent="0.25">
      <c r="A546" s="13" t="s">
        <v>1302</v>
      </c>
      <c r="B546" s="13" t="s">
        <v>1257</v>
      </c>
      <c r="C546" s="34" t="s">
        <v>1304</v>
      </c>
      <c r="D546" s="25" t="s">
        <v>1303</v>
      </c>
      <c r="E546" s="13" t="s">
        <v>1305</v>
      </c>
    </row>
    <row r="547" spans="1:5" ht="30" x14ac:dyDescent="0.25">
      <c r="A547" s="13" t="s">
        <v>1306</v>
      </c>
      <c r="B547" t="s">
        <v>1300</v>
      </c>
      <c r="C547" s="34" t="s">
        <v>1304</v>
      </c>
      <c r="D547" s="25" t="s">
        <v>1303</v>
      </c>
      <c r="E547" s="13" t="s">
        <v>1307</v>
      </c>
    </row>
    <row r="548" spans="1:5" ht="30" x14ac:dyDescent="0.25">
      <c r="A548" s="13" t="s">
        <v>1331</v>
      </c>
      <c r="B548" t="s">
        <v>1300</v>
      </c>
      <c r="C548" s="34" t="s">
        <v>1304</v>
      </c>
      <c r="D548" s="25" t="s">
        <v>1308</v>
      </c>
      <c r="E548" s="13" t="s">
        <v>1309</v>
      </c>
    </row>
    <row r="549" spans="1:5" ht="30" x14ac:dyDescent="0.25">
      <c r="A549" s="13" t="s">
        <v>1327</v>
      </c>
      <c r="B549" t="s">
        <v>1317</v>
      </c>
      <c r="C549" s="34" t="s">
        <v>1304</v>
      </c>
      <c r="D549" s="25" t="s">
        <v>1308</v>
      </c>
      <c r="E549" s="13"/>
    </row>
    <row r="550" spans="1:5" x14ac:dyDescent="0.25">
      <c r="A550" s="13" t="s">
        <v>1327</v>
      </c>
      <c r="B550" t="s">
        <v>1329</v>
      </c>
      <c r="C550" s="13"/>
      <c r="D550" s="14"/>
      <c r="E550" s="13" t="s">
        <v>1364</v>
      </c>
    </row>
    <row r="551" spans="1:5" x14ac:dyDescent="0.25">
      <c r="A551" s="13"/>
      <c r="B551" s="13"/>
      <c r="C551" s="13"/>
      <c r="D551" s="14"/>
      <c r="E551" s="13"/>
    </row>
    <row r="552" spans="1:5" ht="30" x14ac:dyDescent="0.25">
      <c r="A552" s="13" t="s">
        <v>1338</v>
      </c>
      <c r="B552" s="13" t="s">
        <v>1337</v>
      </c>
      <c r="C552" s="13" t="s">
        <v>1336</v>
      </c>
      <c r="D552" s="25" t="s">
        <v>1303</v>
      </c>
      <c r="E552" s="13" t="s">
        <v>1339</v>
      </c>
    </row>
    <row r="553" spans="1:5" ht="30" x14ac:dyDescent="0.25">
      <c r="A553" s="13" t="s">
        <v>1343</v>
      </c>
      <c r="B553" s="13" t="s">
        <v>1341</v>
      </c>
      <c r="C553" t="s">
        <v>1351</v>
      </c>
      <c r="D553" s="25" t="s">
        <v>1308</v>
      </c>
      <c r="E553" s="13" t="s">
        <v>1355</v>
      </c>
    </row>
    <row r="554" spans="1:5" ht="30" x14ac:dyDescent="0.25">
      <c r="A554" s="13" t="s">
        <v>1348</v>
      </c>
      <c r="B554" s="13" t="s">
        <v>1341</v>
      </c>
      <c r="C554" t="s">
        <v>1351</v>
      </c>
      <c r="D554" s="25" t="s">
        <v>1356</v>
      </c>
      <c r="E554" s="13" t="s">
        <v>1354</v>
      </c>
    </row>
    <row r="555" spans="1:5" ht="90" x14ac:dyDescent="0.25">
      <c r="A555" s="13" t="s">
        <v>1359</v>
      </c>
      <c r="B555" s="13" t="s">
        <v>1361</v>
      </c>
      <c r="C555" t="s">
        <v>1363</v>
      </c>
      <c r="D555" s="25" t="s">
        <v>1362</v>
      </c>
      <c r="E555" s="13" t="s">
        <v>1358</v>
      </c>
    </row>
    <row r="556" spans="1:5" ht="30" x14ac:dyDescent="0.25">
      <c r="A556" s="13" t="s">
        <v>1365</v>
      </c>
      <c r="B556" s="13" t="s">
        <v>1361</v>
      </c>
      <c r="C556" t="s">
        <v>1363</v>
      </c>
      <c r="D556" s="25" t="s">
        <v>1366</v>
      </c>
      <c r="E556" s="13"/>
    </row>
    <row r="557" spans="1:5" ht="30" x14ac:dyDescent="0.25">
      <c r="A557" s="13" t="s">
        <v>1360</v>
      </c>
      <c r="B557" s="13" t="s">
        <v>1361</v>
      </c>
      <c r="C557" t="s">
        <v>1363</v>
      </c>
      <c r="D557" s="25" t="s">
        <v>1308</v>
      </c>
      <c r="E557" s="13" t="s">
        <v>1357</v>
      </c>
    </row>
    <row r="558" spans="1:5" ht="60" x14ac:dyDescent="0.25">
      <c r="A558" s="13" t="s">
        <v>1369</v>
      </c>
      <c r="B558" s="13" t="s">
        <v>1361</v>
      </c>
      <c r="C558" s="13" t="s">
        <v>1371</v>
      </c>
      <c r="D558" s="25" t="s">
        <v>1367</v>
      </c>
      <c r="E558" s="13"/>
    </row>
    <row r="559" spans="1:5" ht="75" x14ac:dyDescent="0.25">
      <c r="A559" s="13" t="s">
        <v>1370</v>
      </c>
      <c r="B559" s="13" t="s">
        <v>1361</v>
      </c>
      <c r="C559" s="13" t="s">
        <v>1371</v>
      </c>
      <c r="D559" s="25" t="s">
        <v>1368</v>
      </c>
      <c r="E559" s="13"/>
    </row>
    <row r="560" spans="1:5" ht="75" x14ac:dyDescent="0.25">
      <c r="A560" s="13" t="s">
        <v>1372</v>
      </c>
      <c r="B560" s="13" t="s">
        <v>1361</v>
      </c>
      <c r="C560" s="13" t="s">
        <v>1371</v>
      </c>
      <c r="D560" s="25" t="s">
        <v>1373</v>
      </c>
      <c r="E560" s="13"/>
    </row>
    <row r="561" spans="1:5" x14ac:dyDescent="0.25">
      <c r="A561" s="13" t="s">
        <v>1374</v>
      </c>
      <c r="B561" s="13" t="s">
        <v>1361</v>
      </c>
      <c r="C561" s="13" t="s">
        <v>1375</v>
      </c>
      <c r="D561" s="14" t="s">
        <v>1259</v>
      </c>
      <c r="E561" s="13"/>
    </row>
    <row r="562" spans="1:5" ht="30" x14ac:dyDescent="0.25">
      <c r="A562" s="13" t="s">
        <v>1383</v>
      </c>
      <c r="B562" s="13" t="s">
        <v>1361</v>
      </c>
      <c r="C562" s="13" t="s">
        <v>1386</v>
      </c>
      <c r="D562" s="25" t="s">
        <v>1384</v>
      </c>
      <c r="E562" s="13"/>
    </row>
    <row r="563" spans="1:5" x14ac:dyDescent="0.25">
      <c r="A563" s="13" t="s">
        <v>1376</v>
      </c>
      <c r="B563" s="13" t="s">
        <v>1361</v>
      </c>
      <c r="C563" s="13" t="s">
        <v>1375</v>
      </c>
      <c r="D563" s="25" t="s">
        <v>1377</v>
      </c>
      <c r="E563" s="13"/>
    </row>
    <row r="564" spans="1:5" x14ac:dyDescent="0.25">
      <c r="A564" s="13" t="s">
        <v>1385</v>
      </c>
      <c r="B564" s="13" t="s">
        <v>1361</v>
      </c>
      <c r="C564" s="13" t="s">
        <v>1386</v>
      </c>
      <c r="D564" s="25" t="s">
        <v>1377</v>
      </c>
      <c r="E564" s="13"/>
    </row>
    <row r="565" spans="1:5" ht="45" x14ac:dyDescent="0.25">
      <c r="A565" s="13" t="s">
        <v>1378</v>
      </c>
      <c r="B565" s="13" t="s">
        <v>1361</v>
      </c>
      <c r="C565" s="13" t="s">
        <v>1393</v>
      </c>
      <c r="D565" s="25" t="s">
        <v>1380</v>
      </c>
      <c r="E565" s="13"/>
    </row>
    <row r="566" spans="1:5" ht="45" x14ac:dyDescent="0.25">
      <c r="A566" s="13" t="s">
        <v>1379</v>
      </c>
      <c r="B566" s="13" t="s">
        <v>1361</v>
      </c>
      <c r="C566" s="13" t="s">
        <v>1382</v>
      </c>
      <c r="D566" s="25" t="s">
        <v>1381</v>
      </c>
      <c r="E566" s="13"/>
    </row>
    <row r="567" spans="1:5" ht="30" x14ac:dyDescent="0.25">
      <c r="A567" s="13" t="s">
        <v>1387</v>
      </c>
      <c r="B567" s="13" t="s">
        <v>1361</v>
      </c>
      <c r="C567" s="13" t="s">
        <v>1388</v>
      </c>
      <c r="D567" s="25" t="s">
        <v>1389</v>
      </c>
      <c r="E567" s="13"/>
    </row>
    <row r="568" spans="1:5" ht="60" x14ac:dyDescent="0.25">
      <c r="A568" s="13" t="s">
        <v>1392</v>
      </c>
      <c r="B568" s="13" t="s">
        <v>1361</v>
      </c>
      <c r="C568" s="13" t="s">
        <v>1388</v>
      </c>
      <c r="D568" s="25" t="s">
        <v>1397</v>
      </c>
      <c r="E568" s="13"/>
    </row>
    <row r="569" spans="1:5" ht="30" x14ac:dyDescent="0.25">
      <c r="A569" s="13" t="s">
        <v>1390</v>
      </c>
      <c r="B569" s="13" t="s">
        <v>1361</v>
      </c>
      <c r="C569" s="13" t="s">
        <v>1388</v>
      </c>
      <c r="D569" s="25" t="s">
        <v>1391</v>
      </c>
      <c r="E569" s="13"/>
    </row>
    <row r="570" spans="1:5" ht="60" x14ac:dyDescent="0.25">
      <c r="A570" s="13" t="s">
        <v>1394</v>
      </c>
      <c r="B570" s="13" t="s">
        <v>1361</v>
      </c>
      <c r="C570" s="13" t="s">
        <v>1388</v>
      </c>
      <c r="D570" s="25" t="s">
        <v>1396</v>
      </c>
      <c r="E570" s="13"/>
    </row>
    <row r="571" spans="1:5" ht="105" x14ac:dyDescent="0.25">
      <c r="A571" s="13" t="s">
        <v>1395</v>
      </c>
      <c r="B571" s="13" t="s">
        <v>1361</v>
      </c>
      <c r="C571" s="13" t="s">
        <v>1401</v>
      </c>
      <c r="D571" s="25" t="s">
        <v>1398</v>
      </c>
      <c r="E571" s="13"/>
    </row>
    <row r="572" spans="1:5" ht="105" x14ac:dyDescent="0.25">
      <c r="A572" s="14" t="s">
        <v>1402</v>
      </c>
      <c r="B572" s="13" t="s">
        <v>1361</v>
      </c>
      <c r="C572" s="13" t="s">
        <v>1401</v>
      </c>
      <c r="D572" s="25" t="s">
        <v>1403</v>
      </c>
      <c r="E572" s="13"/>
    </row>
    <row r="573" spans="1:5" ht="105" x14ac:dyDescent="0.25">
      <c r="A573" s="13" t="s">
        <v>1399</v>
      </c>
      <c r="B573" s="13" t="s">
        <v>1361</v>
      </c>
      <c r="C573" s="13" t="s">
        <v>1401</v>
      </c>
      <c r="D573" s="25" t="s">
        <v>1400</v>
      </c>
      <c r="E573" s="13"/>
    </row>
    <row r="574" spans="1:5" ht="105" x14ac:dyDescent="0.25">
      <c r="A574" s="14" t="s">
        <v>1404</v>
      </c>
      <c r="B574" s="13" t="s">
        <v>1361</v>
      </c>
      <c r="C574" s="13" t="s">
        <v>1401</v>
      </c>
      <c r="D574" s="25" t="s">
        <v>1405</v>
      </c>
      <c r="E574" s="13"/>
    </row>
    <row r="575" spans="1:5" x14ac:dyDescent="0.25">
      <c r="A575" s="13" t="s">
        <v>1406</v>
      </c>
      <c r="B575" s="13" t="s">
        <v>1361</v>
      </c>
      <c r="C575" s="13" t="s">
        <v>1408</v>
      </c>
      <c r="D575" s="14" t="s">
        <v>1259</v>
      </c>
      <c r="E575" s="13"/>
    </row>
    <row r="576" spans="1:5" ht="30" x14ac:dyDescent="0.25">
      <c r="A576" s="13" t="s">
        <v>1409</v>
      </c>
      <c r="B576" s="13" t="s">
        <v>1361</v>
      </c>
      <c r="C576" s="13" t="s">
        <v>1408</v>
      </c>
      <c r="D576" s="25" t="s">
        <v>1410</v>
      </c>
      <c r="E576" s="13"/>
    </row>
    <row r="577" spans="1:5" x14ac:dyDescent="0.25">
      <c r="A577" s="15" t="s">
        <v>1407</v>
      </c>
      <c r="B577" s="13" t="s">
        <v>1361</v>
      </c>
      <c r="C577" s="13" t="s">
        <v>1408</v>
      </c>
      <c r="D577" s="14" t="s">
        <v>1377</v>
      </c>
      <c r="E577" s="13"/>
    </row>
    <row r="578" spans="1:5" ht="30" x14ac:dyDescent="0.25">
      <c r="A578" s="13" t="s">
        <v>1411</v>
      </c>
      <c r="B578" s="13" t="s">
        <v>1361</v>
      </c>
      <c r="C578" s="13" t="s">
        <v>1408</v>
      </c>
      <c r="D578" s="25" t="s">
        <v>1412</v>
      </c>
      <c r="E578" s="13"/>
    </row>
    <row r="579" spans="1:5" ht="45" x14ac:dyDescent="0.25">
      <c r="A579" s="15" t="s">
        <v>1413</v>
      </c>
      <c r="B579" s="13" t="s">
        <v>1361</v>
      </c>
      <c r="C579" s="13" t="s">
        <v>1408</v>
      </c>
      <c r="D579" s="25" t="s">
        <v>1414</v>
      </c>
      <c r="E579" s="13"/>
    </row>
    <row r="580" spans="1:5" ht="45" x14ac:dyDescent="0.25">
      <c r="A580" s="15" t="s">
        <v>1416</v>
      </c>
      <c r="B580" s="13" t="s">
        <v>1361</v>
      </c>
      <c r="C580" s="13" t="s">
        <v>1417</v>
      </c>
      <c r="D580" s="25" t="s">
        <v>1418</v>
      </c>
      <c r="E580" s="13"/>
    </row>
    <row r="581" spans="1:5" x14ac:dyDescent="0.25">
      <c r="A581" s="13"/>
      <c r="B581" s="13"/>
      <c r="C581" s="13"/>
      <c r="D581" s="14"/>
      <c r="E581" s="13"/>
    </row>
    <row r="582" spans="1:5" x14ac:dyDescent="0.25">
      <c r="A582" s="13"/>
      <c r="B582" s="13"/>
      <c r="C582" s="13"/>
      <c r="D582" s="14"/>
      <c r="E582" s="13"/>
    </row>
    <row r="583" spans="1:5" x14ac:dyDescent="0.25">
      <c r="A583" s="13"/>
      <c r="B583" s="13"/>
      <c r="C583" s="13"/>
      <c r="D583" s="14"/>
      <c r="E583" s="13"/>
    </row>
    <row r="584" spans="1:5" x14ac:dyDescent="0.25">
      <c r="A584" s="13"/>
      <c r="B584" s="13"/>
      <c r="C584" s="13"/>
      <c r="D584" s="14"/>
      <c r="E584" s="13"/>
    </row>
    <row r="585" spans="1:5" x14ac:dyDescent="0.25">
      <c r="A585" s="13"/>
      <c r="B585" s="13"/>
      <c r="C585" s="13"/>
      <c r="D585" s="14"/>
      <c r="E585" s="13"/>
    </row>
    <row r="586" spans="1:5" x14ac:dyDescent="0.25">
      <c r="A586" s="13"/>
      <c r="B586" s="13"/>
      <c r="C586" s="13"/>
      <c r="D586" s="14"/>
      <c r="E586" s="13"/>
    </row>
    <row r="587" spans="1:5" x14ac:dyDescent="0.25">
      <c r="A587" s="13"/>
      <c r="B587" s="13"/>
      <c r="C587" s="13"/>
      <c r="D587" s="14"/>
      <c r="E587" s="13"/>
    </row>
    <row r="588" spans="1:5" x14ac:dyDescent="0.25">
      <c r="A588" s="13"/>
      <c r="B588" s="13"/>
      <c r="C588" s="13"/>
      <c r="D588" s="14"/>
      <c r="E588" s="13"/>
    </row>
    <row r="589" spans="1:5" x14ac:dyDescent="0.25">
      <c r="A589" s="13"/>
      <c r="B589" s="13"/>
      <c r="C589" s="13"/>
      <c r="D589" s="14"/>
      <c r="E589" s="13"/>
    </row>
    <row r="590" spans="1:5" x14ac:dyDescent="0.25">
      <c r="A590" s="13"/>
      <c r="B590" s="13"/>
      <c r="C590" s="13"/>
      <c r="D590" s="14"/>
      <c r="E590" s="13"/>
    </row>
    <row r="591" spans="1:5" x14ac:dyDescent="0.25">
      <c r="A591" s="13"/>
      <c r="B591" s="13"/>
      <c r="C591" s="13"/>
      <c r="D591" s="14"/>
      <c r="E591" s="13"/>
    </row>
    <row r="592" spans="1:5" x14ac:dyDescent="0.25">
      <c r="A592" s="13"/>
      <c r="B592" s="13"/>
      <c r="C592" s="13"/>
      <c r="D592" s="14"/>
      <c r="E592" s="13"/>
    </row>
    <row r="593" spans="1:5" x14ac:dyDescent="0.25">
      <c r="A593" s="13"/>
      <c r="B593" s="13"/>
      <c r="C593" s="13"/>
      <c r="D593" s="14"/>
      <c r="E593" s="13"/>
    </row>
    <row r="594" spans="1:5" x14ac:dyDescent="0.25">
      <c r="A594" s="13"/>
      <c r="B594" s="13"/>
      <c r="C594" s="13"/>
      <c r="D594" s="14"/>
      <c r="E594" s="13"/>
    </row>
    <row r="595" spans="1:5" x14ac:dyDescent="0.25">
      <c r="A595" s="13"/>
      <c r="B595" s="13"/>
      <c r="C595" s="13"/>
      <c r="D595" s="14"/>
      <c r="E595" s="13"/>
    </row>
    <row r="596" spans="1:5" x14ac:dyDescent="0.25">
      <c r="A596" s="13"/>
      <c r="B596" s="13"/>
      <c r="C596" s="13"/>
      <c r="D596" s="14"/>
      <c r="E596" s="13"/>
    </row>
    <row r="597" spans="1:5" x14ac:dyDescent="0.25">
      <c r="A597" s="13"/>
      <c r="B597" s="13"/>
      <c r="C597" s="13"/>
      <c r="D597" s="14"/>
      <c r="E597" s="13"/>
    </row>
    <row r="598" spans="1:5" x14ac:dyDescent="0.25">
      <c r="A598" s="13"/>
      <c r="B598" s="13"/>
      <c r="C598" s="13"/>
      <c r="D598" s="14"/>
      <c r="E598" s="13"/>
    </row>
    <row r="599" spans="1:5" x14ac:dyDescent="0.25">
      <c r="A599" s="13"/>
      <c r="B599" s="13"/>
      <c r="C599" s="13"/>
      <c r="D599" s="14"/>
      <c r="E599" s="13"/>
    </row>
    <row r="600" spans="1:5" x14ac:dyDescent="0.25">
      <c r="A600" s="13"/>
      <c r="B600" s="13"/>
      <c r="C600" s="13"/>
      <c r="D600" s="14"/>
      <c r="E600" s="13"/>
    </row>
    <row r="601" spans="1:5" x14ac:dyDescent="0.25">
      <c r="A601" s="13"/>
      <c r="B601" s="13"/>
      <c r="C601" s="13"/>
      <c r="D601" s="14"/>
      <c r="E601" s="13"/>
    </row>
    <row r="602" spans="1:5" x14ac:dyDescent="0.25">
      <c r="A602" s="13"/>
      <c r="B602" s="13"/>
      <c r="C602" s="13"/>
      <c r="D602" s="14"/>
      <c r="E602" s="13"/>
    </row>
    <row r="603" spans="1:5" x14ac:dyDescent="0.25">
      <c r="A603" s="13"/>
      <c r="B603" s="13"/>
      <c r="C603" s="13"/>
      <c r="D603" s="14"/>
      <c r="E603" s="13"/>
    </row>
    <row r="604" spans="1:5" x14ac:dyDescent="0.25">
      <c r="A604" s="13"/>
      <c r="B604" s="13"/>
      <c r="C604" s="13"/>
      <c r="D604" s="14"/>
      <c r="E604" s="13"/>
    </row>
    <row r="605" spans="1:5" x14ac:dyDescent="0.25">
      <c r="A605" s="13"/>
      <c r="B605" s="13"/>
      <c r="C605" s="13"/>
      <c r="D605" s="14"/>
      <c r="E605" s="13"/>
    </row>
    <row r="606" spans="1:5" x14ac:dyDescent="0.25">
      <c r="A606" s="13"/>
      <c r="B606" s="13"/>
      <c r="C606" s="13"/>
      <c r="D606" s="14"/>
      <c r="E606" s="13"/>
    </row>
    <row r="607" spans="1:5" x14ac:dyDescent="0.25">
      <c r="A607" s="13"/>
      <c r="B607" s="13"/>
      <c r="C607" s="13"/>
      <c r="D607" s="14"/>
      <c r="E607" s="13"/>
    </row>
    <row r="608" spans="1:5" x14ac:dyDescent="0.25">
      <c r="A608" s="13"/>
      <c r="B608" s="13"/>
      <c r="C608" s="13"/>
      <c r="D608" s="14"/>
      <c r="E608" s="13"/>
    </row>
    <row r="609" spans="1:5" x14ac:dyDescent="0.25">
      <c r="A609" s="13"/>
      <c r="B609" s="13"/>
      <c r="C609" s="13"/>
      <c r="D609" s="14"/>
      <c r="E609" s="13"/>
    </row>
    <row r="610" spans="1:5" x14ac:dyDescent="0.25">
      <c r="A610" s="13"/>
      <c r="B610" s="13"/>
      <c r="C610" s="13"/>
      <c r="D610" s="14"/>
      <c r="E610" s="13"/>
    </row>
    <row r="611" spans="1:5" x14ac:dyDescent="0.25">
      <c r="A611" s="13"/>
      <c r="B611" s="13"/>
      <c r="C611" s="13"/>
      <c r="D611" s="14"/>
      <c r="E611" s="13"/>
    </row>
    <row r="612" spans="1:5" x14ac:dyDescent="0.25">
      <c r="A612" s="13"/>
      <c r="B612" s="13"/>
      <c r="C612" s="13"/>
      <c r="D612" s="14"/>
      <c r="E612" s="13"/>
    </row>
    <row r="613" spans="1:5" x14ac:dyDescent="0.25">
      <c r="A613" s="13"/>
      <c r="B613" s="13"/>
      <c r="C613" s="13"/>
      <c r="D613" s="14"/>
      <c r="E613" s="13"/>
    </row>
    <row r="614" spans="1:5" x14ac:dyDescent="0.25">
      <c r="A614" s="13"/>
      <c r="B614" s="13"/>
      <c r="C614" s="13"/>
      <c r="D614" s="14"/>
      <c r="E614" s="13"/>
    </row>
    <row r="615" spans="1:5" x14ac:dyDescent="0.25">
      <c r="A615" s="13"/>
      <c r="B615" s="13"/>
      <c r="C615" s="13"/>
      <c r="D615" s="14"/>
      <c r="E615" s="13"/>
    </row>
    <row r="616" spans="1:5" x14ac:dyDescent="0.25">
      <c r="A616" s="13"/>
      <c r="B616" s="13"/>
      <c r="C616" s="13"/>
      <c r="D616" s="14"/>
      <c r="E616" s="13"/>
    </row>
    <row r="617" spans="1:5" x14ac:dyDescent="0.25">
      <c r="A617" s="13"/>
      <c r="B617" s="13"/>
      <c r="C617" s="13"/>
      <c r="D617" s="14"/>
      <c r="E617" s="13"/>
    </row>
    <row r="618" spans="1:5" x14ac:dyDescent="0.25">
      <c r="A618" s="13"/>
      <c r="B618" s="13"/>
      <c r="C618" s="13"/>
      <c r="D618" s="14"/>
      <c r="E618" s="13"/>
    </row>
    <row r="619" spans="1:5" x14ac:dyDescent="0.25">
      <c r="A619" s="13"/>
      <c r="B619" s="13"/>
      <c r="C619" s="13"/>
      <c r="D619" s="14"/>
      <c r="E619" s="13"/>
    </row>
    <row r="620" spans="1:5" x14ac:dyDescent="0.25">
      <c r="A620" s="13"/>
      <c r="B620" s="13"/>
      <c r="C620" s="13"/>
      <c r="D620" s="14"/>
      <c r="E620" s="13"/>
    </row>
    <row r="621" spans="1:5" x14ac:dyDescent="0.25">
      <c r="A621" s="13"/>
      <c r="B621" s="13"/>
      <c r="C621" s="13"/>
      <c r="D621" s="14"/>
      <c r="E621" s="13"/>
    </row>
    <row r="622" spans="1:5" x14ac:dyDescent="0.25">
      <c r="A622" s="13"/>
      <c r="B622" s="13"/>
      <c r="C622" s="13"/>
      <c r="D622" s="14"/>
      <c r="E622" s="13"/>
    </row>
    <row r="623" spans="1:5" x14ac:dyDescent="0.25">
      <c r="A623" s="13"/>
      <c r="B623" s="13"/>
      <c r="C623" s="13"/>
      <c r="D623" s="14"/>
      <c r="E623" s="13"/>
    </row>
    <row r="624" spans="1:5" x14ac:dyDescent="0.25">
      <c r="A624" s="13"/>
      <c r="B624" s="13"/>
      <c r="C624" s="13"/>
      <c r="D624" s="14"/>
      <c r="E624" s="13"/>
    </row>
    <row r="625" spans="1:5" x14ac:dyDescent="0.25">
      <c r="A625" s="13"/>
      <c r="B625" s="13"/>
      <c r="C625" s="13"/>
      <c r="D625" s="14"/>
      <c r="E625" s="13"/>
    </row>
    <row r="626" spans="1:5" x14ac:dyDescent="0.25">
      <c r="A626" s="13"/>
      <c r="B626" s="13"/>
      <c r="C626" s="13"/>
      <c r="D626" s="14"/>
      <c r="E626" s="13"/>
    </row>
    <row r="627" spans="1:5" x14ac:dyDescent="0.25">
      <c r="A627" s="13"/>
      <c r="B627" s="13"/>
      <c r="C627" s="13"/>
      <c r="D627" s="14"/>
      <c r="E627" s="13"/>
    </row>
    <row r="628" spans="1:5" x14ac:dyDescent="0.25">
      <c r="A628" s="13"/>
      <c r="B628" s="13"/>
      <c r="C628" s="13"/>
      <c r="D628" s="14"/>
      <c r="E628" s="13"/>
    </row>
    <row r="629" spans="1:5" x14ac:dyDescent="0.25">
      <c r="A629" s="13"/>
      <c r="B629" s="13"/>
      <c r="C629" s="13"/>
      <c r="D629" s="14"/>
      <c r="E629" s="13"/>
    </row>
    <row r="630" spans="1:5" x14ac:dyDescent="0.25">
      <c r="A630" s="13"/>
      <c r="B630" s="13"/>
      <c r="C630" s="13"/>
      <c r="D630" s="14"/>
      <c r="E630" s="13"/>
    </row>
    <row r="631" spans="1:5" x14ac:dyDescent="0.25">
      <c r="A631" s="13"/>
      <c r="B631" s="13"/>
      <c r="C631" s="13"/>
      <c r="D631" s="14"/>
      <c r="E631" s="13"/>
    </row>
    <row r="632" spans="1:5" x14ac:dyDescent="0.25">
      <c r="A632" s="13"/>
      <c r="B632" s="13"/>
      <c r="C632" s="13"/>
      <c r="D632" s="14"/>
      <c r="E632" s="13"/>
    </row>
    <row r="633" spans="1:5" x14ac:dyDescent="0.25">
      <c r="A633" s="13"/>
      <c r="B633" s="13"/>
      <c r="C633" s="13"/>
      <c r="D633" s="14"/>
      <c r="E633" s="13"/>
    </row>
    <row r="634" spans="1:5" x14ac:dyDescent="0.25">
      <c r="A634" s="13"/>
      <c r="B634" s="13"/>
      <c r="C634" s="13"/>
      <c r="D634" s="14"/>
      <c r="E634" s="13"/>
    </row>
    <row r="635" spans="1:5" x14ac:dyDescent="0.25">
      <c r="A635" s="13"/>
      <c r="B635" s="13"/>
      <c r="C635" s="13"/>
      <c r="D635" s="14"/>
      <c r="E635" s="13"/>
    </row>
    <row r="636" spans="1:5" x14ac:dyDescent="0.25">
      <c r="A636" s="13"/>
      <c r="B636" s="13"/>
      <c r="C636" s="13"/>
      <c r="D636" s="14"/>
      <c r="E636" s="13"/>
    </row>
    <row r="637" spans="1:5" x14ac:dyDescent="0.25">
      <c r="A637" s="13"/>
      <c r="B637" s="13"/>
      <c r="C637" s="13"/>
      <c r="D637" s="14"/>
      <c r="E637" s="13"/>
    </row>
    <row r="638" spans="1:5" x14ac:dyDescent="0.25">
      <c r="A638" s="13"/>
      <c r="B638" s="13"/>
      <c r="C638" s="13"/>
      <c r="D638" s="14"/>
      <c r="E638" s="13"/>
    </row>
    <row r="639" spans="1:5" x14ac:dyDescent="0.25">
      <c r="A639" s="13"/>
      <c r="B639" s="13"/>
      <c r="C639" s="13"/>
      <c r="D639" s="14"/>
      <c r="E639" s="13"/>
    </row>
    <row r="640" spans="1:5" x14ac:dyDescent="0.25">
      <c r="A640" s="13"/>
      <c r="B640" s="13"/>
      <c r="C640" s="13"/>
      <c r="D640" s="14"/>
      <c r="E640" s="13"/>
    </row>
    <row r="641" spans="1:5" x14ac:dyDescent="0.25">
      <c r="A641" s="13"/>
      <c r="B641" s="13"/>
      <c r="C641" s="13"/>
      <c r="D641" s="14"/>
      <c r="E641" s="13"/>
    </row>
    <row r="642" spans="1:5" x14ac:dyDescent="0.25">
      <c r="A642" s="13"/>
      <c r="B642" s="13"/>
      <c r="C642" s="13"/>
      <c r="D642" s="14"/>
      <c r="E642" s="13"/>
    </row>
    <row r="643" spans="1:5" x14ac:dyDescent="0.25">
      <c r="A643" s="13"/>
      <c r="B643" s="13"/>
      <c r="C643" s="13"/>
      <c r="D643" s="14"/>
      <c r="E643" s="13"/>
    </row>
    <row r="644" spans="1:5" x14ac:dyDescent="0.25">
      <c r="A644" s="13"/>
      <c r="B644" s="13"/>
      <c r="C644" s="13"/>
      <c r="D644" s="14"/>
      <c r="E644" s="13"/>
    </row>
    <row r="645" spans="1:5" x14ac:dyDescent="0.25">
      <c r="A645" s="13"/>
      <c r="B645" s="13"/>
      <c r="C645" s="13"/>
      <c r="D645" s="14"/>
      <c r="E645" s="13"/>
    </row>
    <row r="646" spans="1:5" x14ac:dyDescent="0.25">
      <c r="A646" s="13"/>
      <c r="B646" s="13"/>
      <c r="C646" s="13"/>
      <c r="D646" s="14"/>
      <c r="E646" s="13"/>
    </row>
    <row r="647" spans="1:5" x14ac:dyDescent="0.25">
      <c r="A647" s="13"/>
      <c r="B647" s="13"/>
      <c r="C647" s="13"/>
      <c r="D647" s="14"/>
      <c r="E647" s="13"/>
    </row>
    <row r="648" spans="1:5" x14ac:dyDescent="0.25">
      <c r="A648" s="13"/>
      <c r="B648" s="13"/>
      <c r="C648" s="13"/>
      <c r="D648" s="14"/>
      <c r="E648" s="13"/>
    </row>
    <row r="649" spans="1:5" x14ac:dyDescent="0.25">
      <c r="A649" s="13"/>
      <c r="B649" s="13"/>
      <c r="C649" s="13"/>
      <c r="D649" s="14"/>
      <c r="E649" s="13"/>
    </row>
    <row r="650" spans="1:5" x14ac:dyDescent="0.25">
      <c r="A650" s="13"/>
      <c r="B650" s="13"/>
      <c r="C650" s="13"/>
      <c r="D650" s="14"/>
      <c r="E650" s="13"/>
    </row>
    <row r="651" spans="1:5" x14ac:dyDescent="0.25">
      <c r="A651" s="13"/>
      <c r="B651" s="13"/>
      <c r="C651" s="13"/>
      <c r="D651" s="14"/>
      <c r="E651" s="13"/>
    </row>
    <row r="652" spans="1:5" x14ac:dyDescent="0.25">
      <c r="A652" s="13"/>
      <c r="B652" s="13"/>
      <c r="C652" s="13"/>
      <c r="D652" s="14"/>
      <c r="E652" s="13"/>
    </row>
    <row r="653" spans="1:5" x14ac:dyDescent="0.25">
      <c r="A653" s="13"/>
      <c r="B653" s="13"/>
      <c r="C653" s="13"/>
      <c r="D653" s="14"/>
      <c r="E653" s="13"/>
    </row>
    <row r="654" spans="1:5" x14ac:dyDescent="0.25">
      <c r="A654" s="13"/>
      <c r="B654" s="13"/>
      <c r="C654" s="13"/>
      <c r="D654" s="14"/>
      <c r="E654" s="13"/>
    </row>
    <row r="655" spans="1:5" x14ac:dyDescent="0.25">
      <c r="A655" s="13"/>
      <c r="B655" s="13"/>
      <c r="C655" s="13"/>
      <c r="D655" s="14"/>
      <c r="E655" s="13"/>
    </row>
    <row r="656" spans="1:5" x14ac:dyDescent="0.25">
      <c r="A656" s="13"/>
      <c r="B656" s="13"/>
      <c r="C656" s="13"/>
      <c r="D656" s="14"/>
      <c r="E656" s="13"/>
    </row>
    <row r="657" spans="1:5" x14ac:dyDescent="0.25">
      <c r="A657" s="13"/>
      <c r="B657" s="13"/>
      <c r="C657" s="13"/>
      <c r="D657" s="14"/>
      <c r="E657" s="13"/>
    </row>
    <row r="658" spans="1:5" x14ac:dyDescent="0.25">
      <c r="A658" s="13"/>
      <c r="B658" s="13"/>
      <c r="C658" s="13"/>
      <c r="D658" s="14"/>
      <c r="E658" s="13"/>
    </row>
    <row r="659" spans="1:5" x14ac:dyDescent="0.25">
      <c r="A659" s="13"/>
      <c r="B659" s="13"/>
      <c r="C659" s="13"/>
      <c r="D659" s="14"/>
      <c r="E659" s="13"/>
    </row>
    <row r="660" spans="1:5" x14ac:dyDescent="0.25">
      <c r="A660" s="13"/>
      <c r="B660" s="13"/>
      <c r="C660" s="13"/>
      <c r="D660" s="14"/>
      <c r="E660" s="13"/>
    </row>
    <row r="661" spans="1:5" x14ac:dyDescent="0.25">
      <c r="A661" s="13"/>
      <c r="B661" s="13"/>
      <c r="C661" s="13"/>
      <c r="D661" s="14"/>
      <c r="E661" s="13"/>
    </row>
    <row r="662" spans="1:5" x14ac:dyDescent="0.25">
      <c r="A662" s="13"/>
      <c r="B662" s="13"/>
      <c r="C662" s="13"/>
      <c r="D662" s="14"/>
      <c r="E662" s="13"/>
    </row>
    <row r="663" spans="1:5" x14ac:dyDescent="0.25">
      <c r="A663" s="13"/>
      <c r="B663" s="13"/>
      <c r="C663" s="13"/>
      <c r="D663" s="14"/>
      <c r="E663" s="13"/>
    </row>
    <row r="664" spans="1:5" x14ac:dyDescent="0.25">
      <c r="A664" s="13"/>
      <c r="B664" s="13"/>
      <c r="C664" s="13"/>
      <c r="D664" s="14"/>
      <c r="E664" s="13"/>
    </row>
    <row r="665" spans="1:5" x14ac:dyDescent="0.25">
      <c r="A665" s="13"/>
      <c r="B665" s="13"/>
      <c r="C665" s="13"/>
      <c r="D665" s="14"/>
      <c r="E665" s="13"/>
    </row>
    <row r="666" spans="1:5" x14ac:dyDescent="0.25">
      <c r="A666" s="13"/>
      <c r="B666" s="13"/>
      <c r="C666" s="13"/>
      <c r="D666" s="14"/>
      <c r="E666" s="13"/>
    </row>
    <row r="667" spans="1:5" x14ac:dyDescent="0.25">
      <c r="A667" s="13"/>
      <c r="B667" s="13"/>
      <c r="C667" s="13"/>
      <c r="D667" s="14"/>
      <c r="E667" s="13"/>
    </row>
    <row r="668" spans="1:5" x14ac:dyDescent="0.25">
      <c r="A668" s="13"/>
      <c r="B668" s="13"/>
      <c r="C668" s="13"/>
      <c r="D668" s="14"/>
      <c r="E668" s="13"/>
    </row>
    <row r="669" spans="1:5" x14ac:dyDescent="0.25">
      <c r="A669" s="13"/>
      <c r="B669" s="13"/>
      <c r="C669" s="13"/>
      <c r="D669" s="14"/>
      <c r="E669" s="13"/>
    </row>
    <row r="670" spans="1:5" x14ac:dyDescent="0.25">
      <c r="A670" s="13"/>
      <c r="B670" s="13"/>
      <c r="C670" s="13"/>
      <c r="D670" s="14"/>
      <c r="E670" s="13"/>
    </row>
    <row r="671" spans="1:5" x14ac:dyDescent="0.25">
      <c r="A671" s="13"/>
      <c r="B671" s="13"/>
      <c r="C671" s="13"/>
      <c r="D671" s="14"/>
      <c r="E671" s="13"/>
    </row>
    <row r="672" spans="1:5" x14ac:dyDescent="0.25">
      <c r="A672" s="13"/>
      <c r="B672" s="13"/>
      <c r="C672" s="13"/>
      <c r="D672" s="14"/>
      <c r="E672" s="13"/>
    </row>
    <row r="673" spans="1:5" x14ac:dyDescent="0.25">
      <c r="A673" s="13"/>
      <c r="B673" s="13"/>
      <c r="C673" s="13"/>
      <c r="D673" s="14"/>
      <c r="E673" s="13"/>
    </row>
    <row r="674" spans="1:5" x14ac:dyDescent="0.25">
      <c r="A674" s="13"/>
      <c r="B674" s="13"/>
      <c r="C674" s="13"/>
      <c r="D674" s="14"/>
      <c r="E674" s="13"/>
    </row>
    <row r="675" spans="1:5" x14ac:dyDescent="0.25">
      <c r="A675" s="13"/>
      <c r="B675" s="13"/>
      <c r="C675" s="13"/>
      <c r="D675" s="14"/>
      <c r="E675" s="13"/>
    </row>
    <row r="676" spans="1:5" x14ac:dyDescent="0.25">
      <c r="A676" s="13"/>
      <c r="B676" s="13"/>
      <c r="C676" s="13"/>
      <c r="D676" s="14"/>
      <c r="E676" s="13"/>
    </row>
    <row r="677" spans="1:5" x14ac:dyDescent="0.25">
      <c r="A677" s="13"/>
      <c r="B677" s="13"/>
      <c r="C677" s="13"/>
      <c r="D677" s="14"/>
      <c r="E677" s="13"/>
    </row>
    <row r="678" spans="1:5" x14ac:dyDescent="0.25">
      <c r="A678" s="13"/>
      <c r="B678" s="13"/>
      <c r="C678" s="13"/>
      <c r="D678" s="14"/>
      <c r="E678" s="13"/>
    </row>
    <row r="679" spans="1:5" x14ac:dyDescent="0.25">
      <c r="A679" s="13"/>
      <c r="B679" s="13"/>
      <c r="C679" s="13"/>
      <c r="D679" s="14"/>
      <c r="E679" s="13"/>
    </row>
    <row r="680" spans="1:5" x14ac:dyDescent="0.25">
      <c r="A680" s="13"/>
      <c r="B680" s="13"/>
      <c r="C680" s="13"/>
      <c r="D680" s="14"/>
      <c r="E680" s="13"/>
    </row>
    <row r="681" spans="1:5" x14ac:dyDescent="0.25">
      <c r="A681" s="13"/>
      <c r="B681" s="13"/>
      <c r="C681" s="13"/>
      <c r="D681" s="14"/>
      <c r="E681" s="13"/>
    </row>
    <row r="682" spans="1:5" x14ac:dyDescent="0.25">
      <c r="A682" s="13"/>
      <c r="B682" s="13"/>
      <c r="C682" s="13"/>
      <c r="D682" s="14"/>
      <c r="E682" s="13"/>
    </row>
    <row r="683" spans="1:5" x14ac:dyDescent="0.25">
      <c r="A683" s="13"/>
      <c r="B683" s="13"/>
      <c r="C683" s="13"/>
      <c r="D683" s="14"/>
      <c r="E683" s="13"/>
    </row>
    <row r="684" spans="1:5" x14ac:dyDescent="0.25">
      <c r="A684" s="13"/>
      <c r="B684" s="13"/>
      <c r="C684" s="13"/>
      <c r="D684" s="14"/>
      <c r="E684" s="13"/>
    </row>
    <row r="685" spans="1:5" x14ac:dyDescent="0.25">
      <c r="A685" s="13"/>
      <c r="B685" s="13"/>
      <c r="C685" s="13"/>
      <c r="D685" s="14"/>
      <c r="E685" s="13"/>
    </row>
    <row r="686" spans="1:5" x14ac:dyDescent="0.25">
      <c r="A686" s="13"/>
      <c r="B686" s="13"/>
      <c r="C686" s="13"/>
      <c r="D686" s="14"/>
      <c r="E686" s="13"/>
    </row>
    <row r="687" spans="1:5" x14ac:dyDescent="0.25">
      <c r="A687" s="13"/>
      <c r="B687" s="13"/>
      <c r="C687" s="13"/>
      <c r="D687" s="14"/>
      <c r="E687" s="13"/>
    </row>
    <row r="688" spans="1:5" x14ac:dyDescent="0.25">
      <c r="A688" s="13"/>
      <c r="B688" s="13"/>
      <c r="C688" s="13"/>
      <c r="D688" s="14"/>
      <c r="E688" s="13"/>
    </row>
    <row r="689" spans="1:5" x14ac:dyDescent="0.25">
      <c r="A689" s="13"/>
      <c r="B689" s="13"/>
      <c r="C689" s="13"/>
      <c r="D689" s="14"/>
      <c r="E689" s="13"/>
    </row>
    <row r="690" spans="1:5" x14ac:dyDescent="0.25">
      <c r="A690" s="13"/>
      <c r="B690" s="13"/>
      <c r="C690" s="13"/>
      <c r="D690" s="14"/>
      <c r="E690" s="13"/>
    </row>
    <row r="691" spans="1:5" x14ac:dyDescent="0.25">
      <c r="A691" s="13"/>
      <c r="B691" s="13"/>
      <c r="C691" s="13"/>
      <c r="D691" s="14"/>
      <c r="E691" s="13"/>
    </row>
    <row r="692" spans="1:5" x14ac:dyDescent="0.25">
      <c r="A692" s="13"/>
      <c r="B692" s="13"/>
      <c r="C692" s="13"/>
      <c r="D692" s="14"/>
      <c r="E692" s="13"/>
    </row>
    <row r="693" spans="1:5" x14ac:dyDescent="0.25">
      <c r="A693" s="13"/>
      <c r="B693" s="13"/>
      <c r="C693" s="13"/>
      <c r="D693" s="14"/>
      <c r="E693" s="13"/>
    </row>
    <row r="694" spans="1:5" x14ac:dyDescent="0.25">
      <c r="A694" s="13"/>
      <c r="B694" s="13"/>
      <c r="C694" s="13"/>
      <c r="D694" s="14"/>
      <c r="E694" s="13"/>
    </row>
    <row r="695" spans="1:5" x14ac:dyDescent="0.25">
      <c r="A695" s="13"/>
      <c r="B695" s="13"/>
      <c r="C695" s="13"/>
      <c r="D695" s="14"/>
      <c r="E695" s="13"/>
    </row>
    <row r="696" spans="1:5" x14ac:dyDescent="0.25">
      <c r="A696" s="13"/>
      <c r="B696" s="13"/>
      <c r="C696" s="13"/>
      <c r="D696" s="14"/>
      <c r="E696" s="13"/>
    </row>
    <row r="697" spans="1:5" x14ac:dyDescent="0.25">
      <c r="A697" s="13"/>
      <c r="B697" s="13"/>
      <c r="C697" s="13"/>
      <c r="D697" s="14"/>
      <c r="E697" s="13"/>
    </row>
    <row r="698" spans="1:5" x14ac:dyDescent="0.25">
      <c r="A698" s="13"/>
      <c r="B698" s="13"/>
      <c r="C698" s="13"/>
      <c r="D698" s="14"/>
      <c r="E698" s="13"/>
    </row>
    <row r="699" spans="1:5" x14ac:dyDescent="0.25">
      <c r="A699" s="13"/>
      <c r="B699" s="13"/>
      <c r="C699" s="13"/>
      <c r="D699" s="14"/>
      <c r="E699" s="13"/>
    </row>
    <row r="700" spans="1:5" x14ac:dyDescent="0.25">
      <c r="A700" s="13"/>
      <c r="B700" s="13"/>
      <c r="C700" s="13"/>
      <c r="D700" s="14"/>
      <c r="E700" s="13"/>
    </row>
    <row r="701" spans="1:5" x14ac:dyDescent="0.25">
      <c r="A701" s="13"/>
      <c r="B701" s="13"/>
      <c r="C701" s="13"/>
      <c r="D701" s="14"/>
      <c r="E701" s="13"/>
    </row>
    <row r="702" spans="1:5" x14ac:dyDescent="0.25">
      <c r="A702" s="13"/>
      <c r="B702" s="13"/>
      <c r="C702" s="13"/>
      <c r="D702" s="14"/>
      <c r="E702" s="13"/>
    </row>
    <row r="703" spans="1:5" x14ac:dyDescent="0.25">
      <c r="A703" s="13"/>
      <c r="B703" s="13"/>
      <c r="C703" s="13"/>
      <c r="D703" s="14"/>
      <c r="E703" s="13"/>
    </row>
    <row r="704" spans="1:5" x14ac:dyDescent="0.25">
      <c r="A704" s="13"/>
      <c r="B704" s="13"/>
      <c r="C704" s="13"/>
      <c r="D704" s="14"/>
      <c r="E704" s="13"/>
    </row>
    <row r="705" spans="1:5" x14ac:dyDescent="0.25">
      <c r="A705" s="13"/>
      <c r="B705" s="13"/>
      <c r="C705" s="13"/>
      <c r="D705" s="14"/>
      <c r="E705" s="13"/>
    </row>
    <row r="706" spans="1:5" x14ac:dyDescent="0.25">
      <c r="A706" s="13"/>
      <c r="B706" s="13"/>
      <c r="C706" s="13"/>
      <c r="D706" s="14"/>
      <c r="E706" s="13"/>
    </row>
    <row r="707" spans="1:5" x14ac:dyDescent="0.25">
      <c r="A707" s="13"/>
      <c r="B707" s="13"/>
      <c r="C707" s="13"/>
      <c r="D707" s="14"/>
      <c r="E707" s="13"/>
    </row>
    <row r="708" spans="1:5" x14ac:dyDescent="0.25">
      <c r="A708" s="13"/>
      <c r="B708" s="13"/>
      <c r="C708" s="13"/>
      <c r="D708" s="14"/>
      <c r="E708" s="13"/>
    </row>
    <row r="709" spans="1:5" x14ac:dyDescent="0.25">
      <c r="A709" s="13"/>
      <c r="B709" s="13"/>
      <c r="C709" s="13"/>
      <c r="D709" s="14"/>
      <c r="E709" s="13"/>
    </row>
    <row r="710" spans="1:5" x14ac:dyDescent="0.25">
      <c r="A710" s="13"/>
      <c r="B710" s="13"/>
      <c r="C710" s="13"/>
      <c r="D710" s="14"/>
      <c r="E710" s="13"/>
    </row>
    <row r="711" spans="1:5" x14ac:dyDescent="0.25">
      <c r="A711" s="13"/>
      <c r="B711" s="13"/>
      <c r="C711" s="13"/>
      <c r="D711" s="14"/>
      <c r="E711" s="13"/>
    </row>
    <row r="712" spans="1:5" x14ac:dyDescent="0.25">
      <c r="A712" s="13"/>
      <c r="B712" s="13"/>
      <c r="C712" s="13"/>
      <c r="D712" s="14"/>
      <c r="E712" s="13"/>
    </row>
    <row r="713" spans="1:5" x14ac:dyDescent="0.25">
      <c r="A713" s="13"/>
      <c r="B713" s="13"/>
      <c r="C713" s="13"/>
      <c r="D713" s="14"/>
      <c r="E713" s="13"/>
    </row>
    <row r="714" spans="1:5" x14ac:dyDescent="0.25">
      <c r="A714" s="13"/>
      <c r="B714" s="13"/>
      <c r="C714" s="13"/>
      <c r="D714" s="14"/>
      <c r="E714" s="13"/>
    </row>
    <row r="715" spans="1:5" x14ac:dyDescent="0.25">
      <c r="A715" s="13"/>
      <c r="B715" s="13"/>
      <c r="C715" s="13"/>
      <c r="D715" s="14"/>
      <c r="E715" s="13"/>
    </row>
    <row r="716" spans="1:5" x14ac:dyDescent="0.25">
      <c r="A716" s="13"/>
      <c r="B716" s="13"/>
      <c r="C716" s="13"/>
      <c r="D716" s="14"/>
      <c r="E716" s="13"/>
    </row>
    <row r="717" spans="1:5" x14ac:dyDescent="0.25">
      <c r="A717" s="13"/>
      <c r="B717" s="13"/>
      <c r="C717" s="13"/>
      <c r="D717" s="14"/>
      <c r="E717" s="13"/>
    </row>
    <row r="718" spans="1:5" x14ac:dyDescent="0.25">
      <c r="A718" s="13"/>
      <c r="B718" s="13"/>
      <c r="C718" s="13"/>
      <c r="D718" s="14"/>
      <c r="E718" s="13"/>
    </row>
    <row r="719" spans="1:5" x14ac:dyDescent="0.25">
      <c r="A719" s="13"/>
      <c r="B719" s="13"/>
      <c r="C719" s="13"/>
      <c r="D719" s="14"/>
      <c r="E719" s="13"/>
    </row>
    <row r="720" spans="1:5" x14ac:dyDescent="0.25">
      <c r="A720" s="13"/>
      <c r="B720" s="13"/>
      <c r="C720" s="13"/>
      <c r="D720" s="14"/>
      <c r="E720" s="13"/>
    </row>
    <row r="721" spans="1:5" x14ac:dyDescent="0.25">
      <c r="A721" s="13"/>
      <c r="B721" s="13"/>
      <c r="C721" s="13"/>
      <c r="D721" s="14"/>
      <c r="E721" s="13"/>
    </row>
    <row r="722" spans="1:5" x14ac:dyDescent="0.25">
      <c r="A722" s="13"/>
      <c r="B722" s="13"/>
      <c r="C722" s="13"/>
      <c r="D722" s="14"/>
      <c r="E722" s="13"/>
    </row>
    <row r="723" spans="1:5" x14ac:dyDescent="0.25">
      <c r="A723" s="13"/>
      <c r="B723" s="13"/>
      <c r="C723" s="13"/>
      <c r="D723" s="14"/>
      <c r="E723" s="13"/>
    </row>
    <row r="724" spans="1:5" x14ac:dyDescent="0.25">
      <c r="A724" s="13"/>
      <c r="B724" s="13"/>
      <c r="C724" s="13"/>
      <c r="D724" s="14"/>
      <c r="E724" s="13"/>
    </row>
    <row r="725" spans="1:5" x14ac:dyDescent="0.25">
      <c r="A725" s="13"/>
      <c r="B725" s="13"/>
      <c r="C725" s="13"/>
      <c r="D725" s="14"/>
      <c r="E725" s="13"/>
    </row>
    <row r="726" spans="1:5" x14ac:dyDescent="0.25">
      <c r="A726" s="13"/>
      <c r="B726" s="13"/>
      <c r="C726" s="13"/>
      <c r="D726" s="14"/>
      <c r="E726" s="13"/>
    </row>
    <row r="727" spans="1:5" x14ac:dyDescent="0.25">
      <c r="A727" s="13"/>
      <c r="B727" s="13"/>
      <c r="C727" s="13"/>
      <c r="D727" s="14"/>
      <c r="E727" s="13"/>
    </row>
    <row r="728" spans="1:5" x14ac:dyDescent="0.25">
      <c r="A728" s="13"/>
      <c r="B728" s="13"/>
      <c r="C728" s="13"/>
      <c r="D728" s="14"/>
      <c r="E728" s="13"/>
    </row>
    <row r="729" spans="1:5" x14ac:dyDescent="0.25">
      <c r="A729" s="13"/>
      <c r="B729" s="13"/>
      <c r="C729" s="13"/>
      <c r="D729" s="14"/>
      <c r="E729" s="13"/>
    </row>
    <row r="730" spans="1:5" x14ac:dyDescent="0.25">
      <c r="A730" s="13"/>
      <c r="B730" s="13"/>
      <c r="C730" s="13"/>
      <c r="D730" s="14"/>
      <c r="E730" s="13"/>
    </row>
    <row r="731" spans="1:5" x14ac:dyDescent="0.25">
      <c r="A731" s="13"/>
      <c r="B731" s="13"/>
      <c r="C731" s="13"/>
      <c r="D731" s="14"/>
      <c r="E731" s="13"/>
    </row>
    <row r="732" spans="1:5" x14ac:dyDescent="0.25">
      <c r="A732" s="13"/>
      <c r="B732" s="13"/>
      <c r="C732" s="13"/>
      <c r="D732" s="14"/>
      <c r="E732" s="13"/>
    </row>
    <row r="733" spans="1:5" x14ac:dyDescent="0.25">
      <c r="A733" s="13"/>
      <c r="B733" s="13"/>
      <c r="C733" s="13"/>
      <c r="D733" s="14"/>
      <c r="E733" s="13"/>
    </row>
    <row r="734" spans="1:5" x14ac:dyDescent="0.25">
      <c r="A734" s="13"/>
      <c r="B734" s="13"/>
      <c r="C734" s="13"/>
      <c r="D734" s="14"/>
      <c r="E734" s="13"/>
    </row>
    <row r="735" spans="1:5" x14ac:dyDescent="0.25">
      <c r="A735" s="13"/>
      <c r="B735" s="13"/>
      <c r="C735" s="13"/>
      <c r="D735" s="14"/>
      <c r="E735" s="13"/>
    </row>
    <row r="736" spans="1:5" x14ac:dyDescent="0.25">
      <c r="A736" s="13"/>
      <c r="B736" s="13"/>
      <c r="C736" s="13"/>
      <c r="D736" s="14"/>
      <c r="E736" s="13"/>
    </row>
    <row r="737" spans="1:5" x14ac:dyDescent="0.25">
      <c r="A737" s="13"/>
      <c r="B737" s="13"/>
      <c r="C737" s="13"/>
      <c r="D737" s="14"/>
      <c r="E737" s="13"/>
    </row>
    <row r="738" spans="1:5" x14ac:dyDescent="0.25">
      <c r="A738" s="13"/>
      <c r="B738" s="13"/>
      <c r="C738" s="13"/>
      <c r="D738" s="14"/>
      <c r="E738" s="13"/>
    </row>
    <row r="739" spans="1:5" x14ac:dyDescent="0.25">
      <c r="A739" s="13"/>
      <c r="B739" s="13"/>
      <c r="C739" s="13"/>
      <c r="D739" s="14"/>
      <c r="E739" s="13"/>
    </row>
    <row r="740" spans="1:5" x14ac:dyDescent="0.25">
      <c r="A740" s="13"/>
      <c r="B740" s="13"/>
      <c r="C740" s="13"/>
      <c r="D740" s="14"/>
      <c r="E740" s="13"/>
    </row>
    <row r="741" spans="1:5" x14ac:dyDescent="0.25">
      <c r="A741" s="13"/>
      <c r="B741" s="13"/>
      <c r="C741" s="13"/>
      <c r="D741" s="14"/>
      <c r="E741" s="13"/>
    </row>
    <row r="742" spans="1:5" x14ac:dyDescent="0.25">
      <c r="A742" s="13"/>
      <c r="B742" s="13"/>
      <c r="C742" s="13"/>
      <c r="D742" s="14"/>
      <c r="E742" s="13"/>
    </row>
    <row r="743" spans="1:5" x14ac:dyDescent="0.25">
      <c r="A743" s="13"/>
      <c r="B743" s="13"/>
      <c r="C743" s="13"/>
      <c r="D743" s="14"/>
      <c r="E743" s="13"/>
    </row>
    <row r="744" spans="1:5" x14ac:dyDescent="0.25">
      <c r="A744" s="13"/>
      <c r="B744" s="13"/>
      <c r="C744" s="13"/>
      <c r="D744" s="14"/>
      <c r="E744" s="13"/>
    </row>
    <row r="745" spans="1:5" x14ac:dyDescent="0.25">
      <c r="A745" s="13"/>
      <c r="B745" s="13"/>
      <c r="C745" s="13"/>
      <c r="D745" s="14"/>
      <c r="E745" s="13"/>
    </row>
    <row r="746" spans="1:5" x14ac:dyDescent="0.25">
      <c r="A746" s="13"/>
      <c r="B746" s="13"/>
      <c r="C746" s="13"/>
      <c r="D746" s="14"/>
      <c r="E746" s="13"/>
    </row>
    <row r="747" spans="1:5" x14ac:dyDescent="0.25">
      <c r="A747" s="13"/>
      <c r="B747" s="13"/>
      <c r="C747" s="13"/>
      <c r="D747" s="14"/>
      <c r="E747" s="13"/>
    </row>
    <row r="748" spans="1:5" x14ac:dyDescent="0.25">
      <c r="A748" s="13"/>
      <c r="B748" s="13"/>
      <c r="C748" s="13"/>
      <c r="D748" s="14"/>
      <c r="E748" s="13"/>
    </row>
    <row r="749" spans="1:5" x14ac:dyDescent="0.25">
      <c r="A749" s="13"/>
      <c r="B749" s="13"/>
      <c r="C749" s="13"/>
      <c r="D749" s="14"/>
      <c r="E749" s="13"/>
    </row>
    <row r="750" spans="1:5" x14ac:dyDescent="0.25">
      <c r="A750" s="13"/>
      <c r="B750" s="13"/>
      <c r="C750" s="13"/>
      <c r="D750" s="14"/>
      <c r="E750" s="13"/>
    </row>
    <row r="751" spans="1:5" x14ac:dyDescent="0.25">
      <c r="A751" s="13"/>
      <c r="B751" s="13"/>
      <c r="C751" s="13"/>
      <c r="D751" s="14"/>
      <c r="E751" s="13"/>
    </row>
    <row r="752" spans="1:5" x14ac:dyDescent="0.25">
      <c r="A752" s="13"/>
      <c r="B752" s="13"/>
      <c r="C752" s="13"/>
      <c r="D752" s="14"/>
      <c r="E752" s="13"/>
    </row>
    <row r="753" spans="1:5" x14ac:dyDescent="0.25">
      <c r="A753" s="13"/>
      <c r="B753" s="13"/>
      <c r="C753" s="13"/>
      <c r="D753" s="14"/>
      <c r="E753" s="13"/>
    </row>
    <row r="754" spans="1:5" x14ac:dyDescent="0.25">
      <c r="A754" s="13"/>
      <c r="B754" s="13"/>
      <c r="C754" s="13"/>
      <c r="D754" s="14"/>
      <c r="E754" s="13"/>
    </row>
    <row r="755" spans="1:5" x14ac:dyDescent="0.25">
      <c r="A755" s="13"/>
      <c r="B755" s="13"/>
      <c r="C755" s="13"/>
      <c r="D755" s="14"/>
      <c r="E755" s="13"/>
    </row>
    <row r="756" spans="1:5" x14ac:dyDescent="0.25">
      <c r="A756" s="13"/>
      <c r="B756" s="13"/>
      <c r="C756" s="13"/>
      <c r="D756" s="14"/>
      <c r="E756" s="13"/>
    </row>
    <row r="757" spans="1:5" x14ac:dyDescent="0.25">
      <c r="A757" s="13"/>
      <c r="B757" s="13"/>
      <c r="C757" s="13"/>
      <c r="D757" s="14"/>
      <c r="E757" s="13"/>
    </row>
    <row r="758" spans="1:5" x14ac:dyDescent="0.25">
      <c r="A758" s="13"/>
      <c r="B758" s="13"/>
      <c r="C758" s="13"/>
      <c r="D758" s="14"/>
      <c r="E758" s="13"/>
    </row>
    <row r="759" spans="1:5" x14ac:dyDescent="0.25">
      <c r="A759" s="13"/>
      <c r="B759" s="13"/>
      <c r="C759" s="13"/>
      <c r="D759" s="14"/>
      <c r="E759" s="13"/>
    </row>
    <row r="760" spans="1:5" x14ac:dyDescent="0.25">
      <c r="A760" s="13"/>
      <c r="B760" s="13"/>
      <c r="C760" s="13"/>
      <c r="D760" s="14"/>
      <c r="E760" s="13"/>
    </row>
    <row r="761" spans="1:5" x14ac:dyDescent="0.25">
      <c r="A761" s="13"/>
      <c r="B761" s="13"/>
      <c r="C761" s="13"/>
      <c r="D761" s="14"/>
      <c r="E761" s="13"/>
    </row>
    <row r="762" spans="1:5" x14ac:dyDescent="0.25">
      <c r="A762" s="13"/>
      <c r="B762" s="13"/>
      <c r="C762" s="13"/>
      <c r="D762" s="14"/>
      <c r="E762" s="13"/>
    </row>
    <row r="763" spans="1:5" x14ac:dyDescent="0.25">
      <c r="A763" s="13"/>
      <c r="B763" s="13"/>
      <c r="C763" s="13"/>
      <c r="D763" s="14"/>
      <c r="E763" s="13"/>
    </row>
    <row r="764" spans="1:5" x14ac:dyDescent="0.25">
      <c r="A764" s="13"/>
      <c r="B764" s="13"/>
      <c r="C764" s="13"/>
      <c r="D764" s="14"/>
      <c r="E764" s="13"/>
    </row>
    <row r="765" spans="1:5" x14ac:dyDescent="0.25">
      <c r="A765" s="13"/>
      <c r="B765" s="13"/>
      <c r="C765" s="13"/>
      <c r="D765" s="14"/>
      <c r="E765" s="13"/>
    </row>
    <row r="766" spans="1:5" x14ac:dyDescent="0.25">
      <c r="A766" s="13"/>
      <c r="B766" s="13"/>
      <c r="C766" s="13"/>
      <c r="D766" s="14"/>
      <c r="E766" s="13"/>
    </row>
    <row r="767" spans="1:5" x14ac:dyDescent="0.25">
      <c r="A767" s="13"/>
      <c r="B767" s="13"/>
      <c r="C767" s="13"/>
      <c r="D767" s="14"/>
      <c r="E767" s="13"/>
    </row>
    <row r="768" spans="1:5" x14ac:dyDescent="0.25">
      <c r="A768" s="13"/>
      <c r="B768" s="13"/>
      <c r="C768" s="13"/>
      <c r="D768" s="14"/>
      <c r="E768" s="13"/>
    </row>
    <row r="769" spans="1:5" x14ac:dyDescent="0.25">
      <c r="A769" s="13"/>
      <c r="B769" s="13"/>
      <c r="C769" s="13"/>
      <c r="D769" s="14"/>
      <c r="E769" s="13"/>
    </row>
    <row r="770" spans="1:5" x14ac:dyDescent="0.25">
      <c r="A770" s="13"/>
      <c r="B770" s="13"/>
      <c r="C770" s="13"/>
      <c r="D770" s="14"/>
      <c r="E770" s="13"/>
    </row>
    <row r="771" spans="1:5" x14ac:dyDescent="0.25">
      <c r="A771" s="13"/>
      <c r="B771" s="13"/>
      <c r="C771" s="13"/>
      <c r="D771" s="14"/>
      <c r="E771" s="13"/>
    </row>
    <row r="772" spans="1:5" x14ac:dyDescent="0.25">
      <c r="A772" s="13"/>
      <c r="B772" s="13"/>
      <c r="C772" s="13"/>
      <c r="D772" s="14"/>
      <c r="E772" s="13"/>
    </row>
    <row r="773" spans="1:5" x14ac:dyDescent="0.25">
      <c r="A773" s="13"/>
      <c r="B773" s="13"/>
      <c r="C773" s="13"/>
      <c r="D773" s="14"/>
      <c r="E773" s="13"/>
    </row>
    <row r="774" spans="1:5" x14ac:dyDescent="0.25">
      <c r="A774" s="13"/>
      <c r="B774" s="13"/>
      <c r="C774" s="13"/>
      <c r="D774" s="14"/>
      <c r="E774" s="13"/>
    </row>
    <row r="775" spans="1:5" x14ac:dyDescent="0.25">
      <c r="A775" s="13"/>
      <c r="B775" s="13"/>
      <c r="C775" s="13"/>
      <c r="D775" s="14"/>
      <c r="E775" s="13"/>
    </row>
    <row r="776" spans="1:5" x14ac:dyDescent="0.25">
      <c r="A776" s="13"/>
      <c r="B776" s="13"/>
      <c r="C776" s="13"/>
      <c r="D776" s="14"/>
      <c r="E776" s="13"/>
    </row>
    <row r="777" spans="1:5" x14ac:dyDescent="0.25">
      <c r="A777" s="13"/>
      <c r="B777" s="13"/>
      <c r="C777" s="13"/>
      <c r="D777" s="14"/>
      <c r="E777" s="13"/>
    </row>
    <row r="778" spans="1:5" x14ac:dyDescent="0.25">
      <c r="A778" s="13"/>
      <c r="B778" s="13"/>
      <c r="C778" s="13"/>
      <c r="D778" s="14"/>
      <c r="E778" s="13"/>
    </row>
    <row r="779" spans="1:5" x14ac:dyDescent="0.25">
      <c r="A779" s="13"/>
      <c r="B779" s="13"/>
      <c r="C779" s="13"/>
      <c r="D779" s="14"/>
      <c r="E779" s="13"/>
    </row>
    <row r="780" spans="1:5" x14ac:dyDescent="0.25">
      <c r="A780" s="13"/>
      <c r="B780" s="13"/>
      <c r="C780" s="13"/>
      <c r="D780" s="14"/>
      <c r="E780" s="13"/>
    </row>
    <row r="781" spans="1:5" x14ac:dyDescent="0.25">
      <c r="A781" s="13"/>
      <c r="B781" s="13"/>
      <c r="C781" s="13"/>
      <c r="D781" s="14"/>
      <c r="E781" s="13"/>
    </row>
    <row r="782" spans="1:5" x14ac:dyDescent="0.25">
      <c r="A782" s="13"/>
      <c r="B782" s="13"/>
      <c r="C782" s="13"/>
      <c r="D782" s="14"/>
      <c r="E782" s="13"/>
    </row>
    <row r="783" spans="1:5" x14ac:dyDescent="0.25">
      <c r="A783" s="13"/>
      <c r="B783" s="13"/>
      <c r="C783" s="13"/>
      <c r="D783" s="14"/>
      <c r="E783" s="13"/>
    </row>
    <row r="784" spans="1:5" x14ac:dyDescent="0.25">
      <c r="A784" s="13"/>
      <c r="B784" s="13"/>
      <c r="C784" s="13"/>
      <c r="D784" s="14"/>
      <c r="E784" s="13"/>
    </row>
    <row r="785" spans="1:5" x14ac:dyDescent="0.25">
      <c r="A785" s="13"/>
      <c r="B785" s="13"/>
      <c r="C785" s="13"/>
      <c r="D785" s="14"/>
      <c r="E785" s="13"/>
    </row>
    <row r="786" spans="1:5" x14ac:dyDescent="0.25">
      <c r="A786" s="13"/>
      <c r="B786" s="13"/>
      <c r="C786" s="13"/>
      <c r="D786" s="14"/>
      <c r="E786" s="13"/>
    </row>
    <row r="787" spans="1:5" x14ac:dyDescent="0.25">
      <c r="A787" s="13"/>
      <c r="B787" s="13"/>
      <c r="C787" s="13"/>
      <c r="D787" s="14"/>
      <c r="E787" s="13"/>
    </row>
    <row r="788" spans="1:5" x14ac:dyDescent="0.25">
      <c r="A788" s="13"/>
      <c r="B788" s="13"/>
      <c r="C788" s="13"/>
      <c r="D788" s="14"/>
      <c r="E788" s="13"/>
    </row>
    <row r="789" spans="1:5" x14ac:dyDescent="0.25">
      <c r="A789" s="13"/>
      <c r="B789" s="13"/>
      <c r="C789" s="13"/>
      <c r="D789" s="14"/>
      <c r="E789" s="13"/>
    </row>
    <row r="790" spans="1:5" x14ac:dyDescent="0.25">
      <c r="A790" s="13"/>
      <c r="B790" s="13"/>
      <c r="C790" s="13"/>
      <c r="D790" s="14"/>
      <c r="E790" s="13"/>
    </row>
    <row r="791" spans="1:5" x14ac:dyDescent="0.25">
      <c r="A791" s="13"/>
      <c r="B791" s="13"/>
      <c r="C791" s="13"/>
      <c r="D791" s="14"/>
      <c r="E791" s="13"/>
    </row>
    <row r="792" spans="1:5" x14ac:dyDescent="0.25">
      <c r="A792" s="13"/>
      <c r="B792" s="13"/>
      <c r="C792" s="13"/>
      <c r="D792" s="14"/>
      <c r="E792" s="13"/>
    </row>
    <row r="793" spans="1:5" x14ac:dyDescent="0.25">
      <c r="A793" s="13"/>
      <c r="B793" s="13"/>
      <c r="C793" s="13"/>
      <c r="D793" s="14"/>
      <c r="E793" s="13"/>
    </row>
    <row r="794" spans="1:5" x14ac:dyDescent="0.25">
      <c r="A794" s="13"/>
      <c r="B794" s="13"/>
      <c r="C794" s="13"/>
      <c r="D794" s="14"/>
      <c r="E794" s="13"/>
    </row>
    <row r="795" spans="1:5" x14ac:dyDescent="0.25">
      <c r="A795" s="13"/>
      <c r="B795" s="13"/>
      <c r="C795" s="13"/>
      <c r="D795" s="14"/>
      <c r="E795" s="13"/>
    </row>
    <row r="796" spans="1:5" x14ac:dyDescent="0.25">
      <c r="A796" s="13"/>
      <c r="B796" s="13"/>
      <c r="C796" s="13"/>
      <c r="D796" s="14"/>
      <c r="E796" s="13"/>
    </row>
    <row r="797" spans="1:5" x14ac:dyDescent="0.25">
      <c r="A797" s="13"/>
      <c r="B797" s="13"/>
      <c r="C797" s="13"/>
      <c r="D797" s="14"/>
      <c r="E797" s="13"/>
    </row>
    <row r="798" spans="1:5" x14ac:dyDescent="0.25">
      <c r="A798" s="13"/>
      <c r="B798" s="13"/>
      <c r="C798" s="13"/>
      <c r="D798" s="14"/>
      <c r="E798" s="13"/>
    </row>
    <row r="799" spans="1:5" x14ac:dyDescent="0.25">
      <c r="A799" s="13"/>
      <c r="B799" s="13"/>
      <c r="C799" s="13"/>
      <c r="D799" s="14"/>
      <c r="E799" s="13"/>
    </row>
    <row r="800" spans="1:5" x14ac:dyDescent="0.25">
      <c r="A800" s="13"/>
      <c r="B800" s="13"/>
      <c r="C800" s="13"/>
      <c r="D800" s="14"/>
      <c r="E800" s="13"/>
    </row>
    <row r="801" spans="1:5" x14ac:dyDescent="0.25">
      <c r="A801" s="13"/>
      <c r="B801" s="13"/>
      <c r="C801" s="13"/>
      <c r="D801" s="14"/>
      <c r="E801" s="13"/>
    </row>
    <row r="802" spans="1:5" x14ac:dyDescent="0.25">
      <c r="A802" s="13"/>
      <c r="B802" s="13"/>
      <c r="C802" s="13"/>
      <c r="D802" s="14"/>
      <c r="E802" s="13"/>
    </row>
    <row r="803" spans="1:5" x14ac:dyDescent="0.25">
      <c r="A803" s="13"/>
      <c r="B803" s="13"/>
      <c r="C803" s="13"/>
      <c r="D803" s="14"/>
      <c r="E803" s="13"/>
    </row>
    <row r="804" spans="1:5" x14ac:dyDescent="0.25">
      <c r="A804" s="13"/>
      <c r="B804" s="13"/>
      <c r="C804" s="13"/>
      <c r="D804" s="14"/>
      <c r="E804" s="13"/>
    </row>
    <row r="805" spans="1:5" x14ac:dyDescent="0.25">
      <c r="A805" s="13"/>
      <c r="B805" s="13"/>
      <c r="C805" s="13"/>
      <c r="D805" s="14"/>
      <c r="E805" s="13"/>
    </row>
    <row r="806" spans="1:5" x14ac:dyDescent="0.25">
      <c r="A806" s="13"/>
      <c r="B806" s="13"/>
      <c r="C806" s="13"/>
      <c r="D806" s="14"/>
      <c r="E806" s="13"/>
    </row>
    <row r="807" spans="1:5" x14ac:dyDescent="0.25">
      <c r="A807" s="13"/>
      <c r="B807" s="13"/>
      <c r="C807" s="13"/>
      <c r="D807" s="14"/>
      <c r="E807" s="13"/>
    </row>
    <row r="808" spans="1:5" x14ac:dyDescent="0.25">
      <c r="A808" s="13"/>
      <c r="B808" s="13"/>
      <c r="C808" s="13"/>
      <c r="D808" s="14"/>
      <c r="E808" s="13"/>
    </row>
    <row r="809" spans="1:5" x14ac:dyDescent="0.25">
      <c r="A809" s="13"/>
      <c r="B809" s="13"/>
      <c r="C809" s="13"/>
      <c r="D809" s="14"/>
      <c r="E809" s="13"/>
    </row>
    <row r="810" spans="1:5" x14ac:dyDescent="0.25">
      <c r="A810" s="13"/>
      <c r="B810" s="13"/>
      <c r="C810" s="13"/>
      <c r="D810" s="14"/>
      <c r="E810" s="13"/>
    </row>
    <row r="811" spans="1:5" x14ac:dyDescent="0.25">
      <c r="A811" s="13"/>
      <c r="B811" s="13"/>
      <c r="C811" s="13"/>
      <c r="D811" s="14"/>
      <c r="E811" s="13"/>
    </row>
    <row r="812" spans="1:5" x14ac:dyDescent="0.25">
      <c r="A812" s="13"/>
      <c r="B812" s="13"/>
      <c r="C812" s="13"/>
      <c r="D812" s="14"/>
      <c r="E812" s="13"/>
    </row>
    <row r="813" spans="1:5" x14ac:dyDescent="0.25">
      <c r="A813" s="13"/>
      <c r="B813" s="13"/>
      <c r="C813" s="13"/>
      <c r="D813" s="14"/>
      <c r="E813" s="13"/>
    </row>
    <row r="814" spans="1:5" x14ac:dyDescent="0.25">
      <c r="A814" s="13"/>
      <c r="B814" s="13"/>
      <c r="C814" s="13"/>
      <c r="D814" s="14"/>
      <c r="E814" s="13"/>
    </row>
    <row r="815" spans="1:5" x14ac:dyDescent="0.25">
      <c r="A815" s="13"/>
      <c r="B815" s="13"/>
      <c r="C815" s="13"/>
      <c r="D815" s="14"/>
      <c r="E815" s="13"/>
    </row>
    <row r="816" spans="1:5" x14ac:dyDescent="0.25">
      <c r="A816" s="13"/>
      <c r="B816" s="13"/>
      <c r="C816" s="13"/>
      <c r="D816" s="14"/>
      <c r="E816" s="13"/>
    </row>
    <row r="817" spans="1:5" x14ac:dyDescent="0.25">
      <c r="A817" s="13"/>
      <c r="B817" s="13"/>
      <c r="C817" s="13"/>
      <c r="D817" s="14"/>
      <c r="E817" s="13"/>
    </row>
    <row r="818" spans="1:5" x14ac:dyDescent="0.25">
      <c r="A818" s="13"/>
      <c r="B818" s="13"/>
      <c r="C818" s="13"/>
      <c r="D818" s="14"/>
      <c r="E818" s="13"/>
    </row>
    <row r="819" spans="1:5" x14ac:dyDescent="0.25">
      <c r="A819" s="13"/>
      <c r="B819" s="13"/>
      <c r="C819" s="13"/>
      <c r="D819" s="14"/>
      <c r="E819" s="13"/>
    </row>
    <row r="820" spans="1:5" x14ac:dyDescent="0.25">
      <c r="A820" s="13"/>
      <c r="B820" s="13"/>
      <c r="C820" s="13"/>
      <c r="D820" s="14"/>
      <c r="E820" s="13"/>
    </row>
    <row r="821" spans="1:5" x14ac:dyDescent="0.25">
      <c r="A821" s="13"/>
      <c r="B821" s="13"/>
      <c r="C821" s="13"/>
      <c r="D821" s="14"/>
      <c r="E821" s="13"/>
    </row>
    <row r="822" spans="1:5" x14ac:dyDescent="0.25">
      <c r="A822" s="13"/>
      <c r="B822" s="13"/>
      <c r="C822" s="13"/>
      <c r="D822" s="14"/>
      <c r="E822" s="13"/>
    </row>
    <row r="823" spans="1:5" x14ac:dyDescent="0.25">
      <c r="A823" s="13"/>
      <c r="B823" s="13"/>
      <c r="C823" s="13"/>
      <c r="D823" s="14"/>
      <c r="E823" s="13"/>
    </row>
    <row r="824" spans="1:5" x14ac:dyDescent="0.25">
      <c r="A824" s="13"/>
      <c r="B824" s="13"/>
      <c r="C824" s="13"/>
      <c r="D824" s="14"/>
      <c r="E824" s="13"/>
    </row>
    <row r="825" spans="1:5" x14ac:dyDescent="0.25">
      <c r="A825" s="13"/>
      <c r="B825" s="13"/>
      <c r="C825" s="13"/>
      <c r="D825" s="14"/>
      <c r="E825" s="13"/>
    </row>
    <row r="826" spans="1:5" x14ac:dyDescent="0.25">
      <c r="A826" s="13"/>
      <c r="B826" s="13"/>
      <c r="C826" s="13"/>
      <c r="D826" s="14"/>
      <c r="E826" s="13"/>
    </row>
    <row r="827" spans="1:5" x14ac:dyDescent="0.25">
      <c r="A827" s="13"/>
      <c r="B827" s="13"/>
      <c r="C827" s="13"/>
      <c r="D827" s="14"/>
      <c r="E827" s="13"/>
    </row>
    <row r="828" spans="1:5" x14ac:dyDescent="0.25">
      <c r="A828" s="13"/>
      <c r="B828" s="13"/>
      <c r="C828" s="13"/>
      <c r="D828" s="14"/>
      <c r="E828" s="13"/>
    </row>
    <row r="829" spans="1:5" x14ac:dyDescent="0.25">
      <c r="A829" s="13"/>
      <c r="B829" s="13"/>
      <c r="C829" s="13"/>
      <c r="D829" s="14"/>
      <c r="E829" s="13"/>
    </row>
    <row r="830" spans="1:5" x14ac:dyDescent="0.25">
      <c r="A830" s="13"/>
      <c r="B830" s="13"/>
      <c r="C830" s="13"/>
      <c r="D830" s="14"/>
      <c r="E830" s="13"/>
    </row>
    <row r="831" spans="1:5" x14ac:dyDescent="0.25">
      <c r="A831" s="13"/>
      <c r="B831" s="13"/>
      <c r="C831" s="13"/>
      <c r="D831" s="14"/>
      <c r="E831" s="13"/>
    </row>
    <row r="832" spans="1:5" x14ac:dyDescent="0.25">
      <c r="A832" s="13"/>
      <c r="B832" s="13"/>
      <c r="C832" s="13"/>
      <c r="D832" s="14"/>
      <c r="E832" s="13"/>
    </row>
    <row r="833" spans="1:5" x14ac:dyDescent="0.25">
      <c r="A833" s="13"/>
      <c r="B833" s="13"/>
      <c r="C833" s="13"/>
      <c r="D833" s="14"/>
      <c r="E833" s="13"/>
    </row>
    <row r="834" spans="1:5" x14ac:dyDescent="0.25">
      <c r="A834" s="13"/>
      <c r="B834" s="13"/>
      <c r="C834" s="13"/>
      <c r="D834" s="14"/>
      <c r="E834" s="13"/>
    </row>
    <row r="835" spans="1:5" x14ac:dyDescent="0.25">
      <c r="A835" s="13"/>
      <c r="B835" s="13"/>
      <c r="C835" s="13"/>
      <c r="D835" s="14"/>
      <c r="E835" s="13"/>
    </row>
    <row r="836" spans="1:5" x14ac:dyDescent="0.25">
      <c r="A836" s="13"/>
      <c r="B836" s="13"/>
      <c r="C836" s="13"/>
      <c r="D836" s="14"/>
      <c r="E836" s="13"/>
    </row>
    <row r="837" spans="1:5" x14ac:dyDescent="0.25">
      <c r="A837" s="13"/>
      <c r="B837" s="13"/>
      <c r="C837" s="13"/>
      <c r="D837" s="14"/>
      <c r="E837" s="13"/>
    </row>
    <row r="838" spans="1:5" x14ac:dyDescent="0.25">
      <c r="A838" s="13"/>
      <c r="B838" s="13"/>
      <c r="C838" s="13"/>
      <c r="D838" s="14"/>
      <c r="E838" s="13"/>
    </row>
    <row r="839" spans="1:5" x14ac:dyDescent="0.25">
      <c r="A839" s="13"/>
      <c r="B839" s="13"/>
      <c r="C839" s="13"/>
      <c r="D839" s="14"/>
      <c r="E839" s="13"/>
    </row>
    <row r="840" spans="1:5" x14ac:dyDescent="0.25">
      <c r="A840" s="13"/>
      <c r="B840" s="13"/>
      <c r="C840" s="13"/>
      <c r="D840" s="14"/>
      <c r="E840" s="13"/>
    </row>
    <row r="841" spans="1:5" x14ac:dyDescent="0.25">
      <c r="A841" s="13"/>
      <c r="B841" s="13"/>
      <c r="C841" s="13"/>
      <c r="D841" s="14"/>
      <c r="E841" s="13"/>
    </row>
    <row r="842" spans="1:5" x14ac:dyDescent="0.25">
      <c r="A842" s="13"/>
      <c r="B842" s="13"/>
      <c r="C842" s="13"/>
      <c r="D842" s="14"/>
      <c r="E842" s="13"/>
    </row>
    <row r="843" spans="1:5" x14ac:dyDescent="0.25">
      <c r="A843" s="13"/>
      <c r="B843" s="13"/>
      <c r="C843" s="13"/>
      <c r="D843" s="14"/>
      <c r="E843" s="13"/>
    </row>
    <row r="844" spans="1:5" x14ac:dyDescent="0.25">
      <c r="A844" s="13"/>
      <c r="B844" s="13"/>
      <c r="C844" s="13"/>
      <c r="D844" s="14"/>
      <c r="E844" s="13"/>
    </row>
    <row r="845" spans="1:5" x14ac:dyDescent="0.25">
      <c r="A845" s="13"/>
      <c r="B845" s="13"/>
      <c r="C845" s="13"/>
      <c r="D845" s="14"/>
      <c r="E845" s="13"/>
    </row>
    <row r="846" spans="1:5" x14ac:dyDescent="0.25">
      <c r="A846" s="13"/>
      <c r="B846" s="13"/>
      <c r="C846" s="13"/>
      <c r="D846" s="14"/>
      <c r="E846" s="13"/>
    </row>
    <row r="847" spans="1:5" x14ac:dyDescent="0.25">
      <c r="A847" s="13"/>
      <c r="B847" s="13"/>
      <c r="C847" s="13"/>
      <c r="D847" s="14"/>
      <c r="E847" s="13"/>
    </row>
    <row r="848" spans="1:5" x14ac:dyDescent="0.25">
      <c r="A848" s="13"/>
      <c r="B848" s="13"/>
      <c r="C848" s="13"/>
      <c r="D848" s="14"/>
      <c r="E848" s="13"/>
    </row>
    <row r="849" spans="1:5" x14ac:dyDescent="0.25">
      <c r="A849" s="13"/>
      <c r="B849" s="13"/>
      <c r="C849" s="13"/>
      <c r="D849" s="14"/>
      <c r="E849" s="13"/>
    </row>
    <row r="850" spans="1:5" x14ac:dyDescent="0.25">
      <c r="A850" s="13"/>
      <c r="B850" s="13"/>
      <c r="C850" s="13"/>
      <c r="D850" s="14"/>
      <c r="E850" s="13"/>
    </row>
    <row r="851" spans="1:5" x14ac:dyDescent="0.25">
      <c r="A851" s="13"/>
      <c r="B851" s="13"/>
      <c r="C851" s="13"/>
      <c r="D851" s="14"/>
      <c r="E851" s="13"/>
    </row>
    <row r="852" spans="1:5" x14ac:dyDescent="0.25">
      <c r="A852" s="13"/>
      <c r="B852" s="13"/>
      <c r="C852" s="13"/>
      <c r="D852" s="14"/>
      <c r="E852" s="13"/>
    </row>
    <row r="853" spans="1:5" x14ac:dyDescent="0.25">
      <c r="A853" s="13"/>
      <c r="B853" s="13"/>
      <c r="C853" s="13"/>
      <c r="D853" s="14"/>
      <c r="E853" s="13"/>
    </row>
    <row r="854" spans="1:5" x14ac:dyDescent="0.25">
      <c r="A854" s="13"/>
      <c r="B854" s="13"/>
      <c r="C854" s="13"/>
      <c r="D854" s="14"/>
      <c r="E854" s="13"/>
    </row>
    <row r="855" spans="1:5" x14ac:dyDescent="0.25">
      <c r="A855" s="13"/>
      <c r="B855" s="13"/>
      <c r="C855" s="13"/>
      <c r="D855" s="14"/>
      <c r="E855" s="13"/>
    </row>
    <row r="856" spans="1:5" x14ac:dyDescent="0.25">
      <c r="A856" s="13"/>
      <c r="B856" s="13"/>
      <c r="C856" s="13"/>
      <c r="D856" s="14"/>
      <c r="E856" s="13"/>
    </row>
    <row r="857" spans="1:5" x14ac:dyDescent="0.25">
      <c r="A857" s="13"/>
      <c r="B857" s="13"/>
      <c r="C857" s="13"/>
      <c r="D857" s="14"/>
      <c r="E857" s="13"/>
    </row>
    <row r="858" spans="1:5" x14ac:dyDescent="0.25">
      <c r="A858" s="13"/>
      <c r="B858" s="13"/>
      <c r="C858" s="13"/>
      <c r="D858" s="14"/>
      <c r="E858" s="13"/>
    </row>
    <row r="859" spans="1:5" x14ac:dyDescent="0.25">
      <c r="A859" s="13"/>
      <c r="B859" s="13"/>
      <c r="C859" s="13"/>
      <c r="D859" s="14"/>
      <c r="E859" s="13"/>
    </row>
    <row r="860" spans="1:5" x14ac:dyDescent="0.25">
      <c r="A860" s="13"/>
      <c r="B860" s="13"/>
      <c r="C860" s="13"/>
      <c r="D860" s="14"/>
      <c r="E860" s="13"/>
    </row>
    <row r="861" spans="1:5" x14ac:dyDescent="0.25">
      <c r="A861" s="13"/>
      <c r="B861" s="13"/>
      <c r="C861" s="13"/>
      <c r="D861" s="14"/>
      <c r="E861" s="13"/>
    </row>
    <row r="862" spans="1:5" x14ac:dyDescent="0.25">
      <c r="A862" s="13"/>
      <c r="B862" s="13"/>
      <c r="C862" s="13"/>
      <c r="D862" s="14"/>
      <c r="E862" s="13"/>
    </row>
    <row r="863" spans="1:5" x14ac:dyDescent="0.25">
      <c r="A863" s="13"/>
      <c r="B863" s="13"/>
      <c r="C863" s="13"/>
      <c r="D863" s="14"/>
      <c r="E863" s="13"/>
    </row>
    <row r="864" spans="1:5" x14ac:dyDescent="0.25">
      <c r="A864" s="13"/>
      <c r="B864" s="13"/>
      <c r="C864" s="13"/>
      <c r="D864" s="14"/>
      <c r="E864" s="13"/>
    </row>
    <row r="865" spans="1:5" x14ac:dyDescent="0.25">
      <c r="A865" s="13"/>
      <c r="B865" s="13"/>
      <c r="C865" s="13"/>
      <c r="D865" s="14"/>
      <c r="E865" s="13"/>
    </row>
    <row r="866" spans="1:5" x14ac:dyDescent="0.25">
      <c r="A866" s="13"/>
      <c r="B866" s="13"/>
      <c r="C866" s="13"/>
      <c r="D866" s="14"/>
      <c r="E866" s="13"/>
    </row>
    <row r="867" spans="1:5" x14ac:dyDescent="0.25">
      <c r="A867" s="13"/>
      <c r="B867" s="13"/>
      <c r="C867" s="13"/>
      <c r="D867" s="14"/>
      <c r="E867" s="13"/>
    </row>
    <row r="868" spans="1:5" x14ac:dyDescent="0.25">
      <c r="A868" s="13"/>
      <c r="B868" s="13"/>
      <c r="C868" s="13"/>
      <c r="D868" s="14"/>
      <c r="E868" s="13"/>
    </row>
    <row r="869" spans="1:5" x14ac:dyDescent="0.25">
      <c r="A869" s="13"/>
      <c r="B869" s="13"/>
      <c r="C869" s="13"/>
      <c r="D869" s="14"/>
      <c r="E869" s="13"/>
    </row>
    <row r="870" spans="1:5" x14ac:dyDescent="0.25">
      <c r="A870" s="13"/>
      <c r="B870" s="13"/>
      <c r="C870" s="13"/>
      <c r="D870" s="14"/>
      <c r="E870" s="13"/>
    </row>
    <row r="871" spans="1:5" x14ac:dyDescent="0.25">
      <c r="A871" s="13"/>
      <c r="B871" s="13"/>
      <c r="C871" s="13"/>
      <c r="D871" s="14"/>
      <c r="E871" s="13"/>
    </row>
    <row r="872" spans="1:5" x14ac:dyDescent="0.25">
      <c r="A872" s="13"/>
      <c r="B872" s="13"/>
      <c r="C872" s="13"/>
      <c r="D872" s="14"/>
      <c r="E872" s="13"/>
    </row>
    <row r="873" spans="1:5" x14ac:dyDescent="0.25">
      <c r="A873" s="13"/>
      <c r="B873" s="13"/>
      <c r="C873" s="13"/>
      <c r="D873" s="14"/>
      <c r="E873" s="13"/>
    </row>
    <row r="874" spans="1:5" x14ac:dyDescent="0.25">
      <c r="A874" s="13"/>
      <c r="B874" s="13"/>
      <c r="C874" s="13"/>
      <c r="D874" s="14"/>
      <c r="E874" s="13"/>
    </row>
    <row r="875" spans="1:5" x14ac:dyDescent="0.25">
      <c r="A875" s="13"/>
      <c r="B875" s="13"/>
      <c r="C875" s="13"/>
      <c r="D875" s="14"/>
      <c r="E875" s="13"/>
    </row>
    <row r="876" spans="1:5" x14ac:dyDescent="0.25">
      <c r="A876" s="13"/>
      <c r="B876" s="13"/>
      <c r="C876" s="13"/>
      <c r="D876" s="14"/>
      <c r="E876" s="13"/>
    </row>
    <row r="877" spans="1:5" x14ac:dyDescent="0.25">
      <c r="A877" s="13"/>
      <c r="B877" s="13"/>
      <c r="C877" s="13"/>
      <c r="D877" s="14"/>
      <c r="E877" s="13"/>
    </row>
    <row r="878" spans="1:5" x14ac:dyDescent="0.25">
      <c r="A878" s="13"/>
      <c r="B878" s="13"/>
      <c r="C878" s="13"/>
      <c r="D878" s="14"/>
      <c r="E878" s="13"/>
    </row>
    <row r="879" spans="1:5" x14ac:dyDescent="0.25">
      <c r="A879" s="13"/>
      <c r="B879" s="13"/>
      <c r="C879" s="13"/>
      <c r="D879" s="14"/>
      <c r="E879" s="13"/>
    </row>
    <row r="880" spans="1:5" x14ac:dyDescent="0.25">
      <c r="A880" s="13"/>
      <c r="B880" s="13"/>
      <c r="C880" s="13"/>
      <c r="D880" s="14"/>
      <c r="E880" s="13"/>
    </row>
    <row r="881" spans="1:5" x14ac:dyDescent="0.25">
      <c r="A881" s="13"/>
      <c r="B881" s="13"/>
      <c r="C881" s="13"/>
      <c r="D881" s="14"/>
      <c r="E881" s="13"/>
    </row>
    <row r="882" spans="1:5" x14ac:dyDescent="0.25">
      <c r="A882" s="13"/>
      <c r="B882" s="13"/>
      <c r="C882" s="13"/>
      <c r="D882" s="14"/>
      <c r="E882" s="13"/>
    </row>
    <row r="883" spans="1:5" x14ac:dyDescent="0.25">
      <c r="A883" s="13"/>
      <c r="B883" s="13"/>
      <c r="C883" s="13"/>
      <c r="D883" s="14"/>
      <c r="E883" s="13"/>
    </row>
    <row r="884" spans="1:5" x14ac:dyDescent="0.25">
      <c r="A884" s="13"/>
      <c r="B884" s="13"/>
      <c r="C884" s="13"/>
      <c r="D884" s="14"/>
      <c r="E884" s="13"/>
    </row>
    <row r="885" spans="1:5" x14ac:dyDescent="0.25">
      <c r="A885" s="13"/>
      <c r="B885" s="13"/>
      <c r="C885" s="13"/>
      <c r="D885" s="14"/>
      <c r="E885" s="13"/>
    </row>
    <row r="886" spans="1:5" x14ac:dyDescent="0.25">
      <c r="A886" s="13"/>
      <c r="B886" s="13"/>
      <c r="C886" s="13"/>
      <c r="D886" s="14"/>
      <c r="E886" s="13"/>
    </row>
    <row r="887" spans="1:5" x14ac:dyDescent="0.25">
      <c r="A887" s="13"/>
      <c r="B887" s="13"/>
      <c r="C887" s="13"/>
      <c r="D887" s="14"/>
      <c r="E887" s="13"/>
    </row>
    <row r="888" spans="1:5" x14ac:dyDescent="0.25">
      <c r="A888" s="13"/>
      <c r="B888" s="13"/>
      <c r="C888" s="13"/>
      <c r="D888" s="14"/>
      <c r="E888" s="13"/>
    </row>
    <row r="889" spans="1:5" x14ac:dyDescent="0.25">
      <c r="A889" s="13"/>
      <c r="B889" s="13"/>
      <c r="C889" s="13"/>
      <c r="D889" s="14"/>
      <c r="E889" s="13"/>
    </row>
    <row r="890" spans="1:5" x14ac:dyDescent="0.25">
      <c r="A890" s="13"/>
      <c r="B890" s="13"/>
      <c r="C890" s="13"/>
      <c r="D890" s="14"/>
      <c r="E890" s="13"/>
    </row>
    <row r="891" spans="1:5" x14ac:dyDescent="0.25">
      <c r="A891" s="13"/>
      <c r="B891" s="13"/>
      <c r="C891" s="13"/>
      <c r="D891" s="14"/>
      <c r="E891" s="13"/>
    </row>
    <row r="892" spans="1:5" x14ac:dyDescent="0.25">
      <c r="A892" s="13"/>
      <c r="B892" s="13"/>
      <c r="C892" s="13"/>
      <c r="D892" s="14"/>
      <c r="E892" s="13"/>
    </row>
    <row r="893" spans="1:5" x14ac:dyDescent="0.25">
      <c r="A893" s="13"/>
      <c r="B893" s="13"/>
      <c r="C893" s="13"/>
      <c r="D893" s="14"/>
      <c r="E893" s="13"/>
    </row>
    <row r="894" spans="1:5" x14ac:dyDescent="0.25">
      <c r="A894" s="13"/>
      <c r="B894" s="13"/>
      <c r="C894" s="13"/>
      <c r="D894" s="14"/>
      <c r="E894" s="13"/>
    </row>
    <row r="895" spans="1:5" x14ac:dyDescent="0.25">
      <c r="A895" s="13"/>
      <c r="B895" s="13"/>
      <c r="C895" s="13"/>
      <c r="D895" s="14"/>
      <c r="E895" s="13"/>
    </row>
    <row r="896" spans="1:5" x14ac:dyDescent="0.25">
      <c r="A896" s="13"/>
      <c r="B896" s="13"/>
      <c r="C896" s="13"/>
      <c r="D896" s="14"/>
      <c r="E896" s="13"/>
    </row>
    <row r="897" spans="1:5" x14ac:dyDescent="0.25">
      <c r="A897" s="13"/>
      <c r="B897" s="13"/>
      <c r="C897" s="13"/>
      <c r="D897" s="14"/>
      <c r="E897" s="13"/>
    </row>
    <row r="898" spans="1:5" x14ac:dyDescent="0.25">
      <c r="A898" s="13"/>
      <c r="B898" s="13"/>
      <c r="C898" s="13"/>
      <c r="D898" s="14"/>
      <c r="E898" s="13"/>
    </row>
    <row r="899" spans="1:5" x14ac:dyDescent="0.25">
      <c r="A899" s="13"/>
      <c r="B899" s="13"/>
      <c r="C899" s="13"/>
      <c r="D899" s="14"/>
      <c r="E899" s="13"/>
    </row>
    <row r="900" spans="1:5" x14ac:dyDescent="0.25">
      <c r="A900" s="13"/>
      <c r="B900" s="13"/>
      <c r="C900" s="13"/>
      <c r="D900" s="14"/>
      <c r="E900" s="13"/>
    </row>
    <row r="901" spans="1:5" x14ac:dyDescent="0.25">
      <c r="A901" s="13"/>
      <c r="B901" s="13"/>
      <c r="C901" s="13"/>
      <c r="D901" s="14"/>
      <c r="E901" s="13"/>
    </row>
    <row r="902" spans="1:5" x14ac:dyDescent="0.25">
      <c r="A902" s="13"/>
      <c r="B902" s="13"/>
      <c r="C902" s="13"/>
      <c r="D902" s="14"/>
      <c r="E902" s="13"/>
    </row>
    <row r="903" spans="1:5" x14ac:dyDescent="0.25">
      <c r="A903" s="13"/>
      <c r="B903" s="13"/>
      <c r="C903" s="13"/>
      <c r="D903" s="14"/>
      <c r="E903" s="13"/>
    </row>
    <row r="904" spans="1:5" x14ac:dyDescent="0.25">
      <c r="A904" s="13"/>
      <c r="B904" s="13"/>
      <c r="C904" s="13"/>
      <c r="D904" s="14"/>
      <c r="E904" s="13"/>
    </row>
    <row r="905" spans="1:5" x14ac:dyDescent="0.25">
      <c r="A905" s="13"/>
      <c r="B905" s="13"/>
      <c r="C905" s="13"/>
      <c r="D905" s="14"/>
      <c r="E905" s="13"/>
    </row>
    <row r="906" spans="1:5" x14ac:dyDescent="0.25">
      <c r="A906" s="13"/>
      <c r="B906" s="13"/>
      <c r="C906" s="13"/>
      <c r="D906" s="14"/>
      <c r="E906" s="13"/>
    </row>
    <row r="907" spans="1:5" x14ac:dyDescent="0.25">
      <c r="A907" s="13"/>
      <c r="B907" s="13"/>
      <c r="C907" s="13"/>
      <c r="D907" s="14"/>
      <c r="E907" s="13"/>
    </row>
    <row r="908" spans="1:5" x14ac:dyDescent="0.25">
      <c r="A908" s="13"/>
      <c r="B908" s="13"/>
      <c r="C908" s="13"/>
      <c r="D908" s="14"/>
      <c r="E908" s="13"/>
    </row>
    <row r="909" spans="1:5" x14ac:dyDescent="0.25">
      <c r="A909" s="13"/>
      <c r="B909" s="13"/>
      <c r="C909" s="13"/>
      <c r="D909" s="14"/>
      <c r="E909" s="13"/>
    </row>
    <row r="910" spans="1:5" x14ac:dyDescent="0.25">
      <c r="A910" s="13"/>
      <c r="B910" s="13"/>
      <c r="C910" s="13"/>
      <c r="D910" s="14"/>
      <c r="E910" s="13"/>
    </row>
    <row r="911" spans="1:5" x14ac:dyDescent="0.25">
      <c r="A911" s="13"/>
      <c r="B911" s="13"/>
      <c r="C911" s="13"/>
      <c r="D911" s="14"/>
      <c r="E911" s="13"/>
    </row>
    <row r="912" spans="1:5" x14ac:dyDescent="0.25">
      <c r="A912" s="13"/>
      <c r="B912" s="13"/>
      <c r="C912" s="13"/>
      <c r="D912" s="14"/>
      <c r="E912" s="13"/>
    </row>
    <row r="913" spans="1:5" x14ac:dyDescent="0.25">
      <c r="A913" s="13"/>
      <c r="B913" s="13"/>
      <c r="C913" s="13"/>
      <c r="D913" s="14"/>
      <c r="E913" s="13"/>
    </row>
    <row r="914" spans="1:5" x14ac:dyDescent="0.25">
      <c r="A914" s="13"/>
      <c r="B914" s="13"/>
      <c r="C914" s="13"/>
      <c r="D914" s="14"/>
      <c r="E914" s="13"/>
    </row>
    <row r="915" spans="1:5" x14ac:dyDescent="0.25">
      <c r="A915" s="13"/>
      <c r="B915" s="13"/>
      <c r="C915" s="13"/>
      <c r="D915" s="14"/>
      <c r="E915" s="13"/>
    </row>
    <row r="916" spans="1:5" x14ac:dyDescent="0.25">
      <c r="A916" s="13"/>
      <c r="B916" s="13"/>
      <c r="C916" s="13"/>
      <c r="D916" s="14"/>
      <c r="E916" s="13"/>
    </row>
    <row r="917" spans="1:5" x14ac:dyDescent="0.25">
      <c r="A917" s="13"/>
      <c r="B917" s="13"/>
      <c r="C917" s="13"/>
      <c r="D917" s="14"/>
      <c r="E917" s="13"/>
    </row>
    <row r="918" spans="1:5" x14ac:dyDescent="0.25">
      <c r="A918" s="13"/>
      <c r="B918" s="13"/>
      <c r="C918" s="13"/>
      <c r="D918" s="14"/>
      <c r="E918" s="13"/>
    </row>
    <row r="919" spans="1:5" x14ac:dyDescent="0.25">
      <c r="A919" s="13"/>
      <c r="B919" s="13"/>
      <c r="C919" s="13"/>
      <c r="D919" s="14"/>
      <c r="E919" s="13"/>
    </row>
    <row r="920" spans="1:5" x14ac:dyDescent="0.25">
      <c r="A920" s="13"/>
      <c r="B920" s="13"/>
      <c r="C920" s="13"/>
      <c r="D920" s="14"/>
      <c r="E920" s="13"/>
    </row>
    <row r="921" spans="1:5" x14ac:dyDescent="0.25">
      <c r="A921" s="13"/>
      <c r="B921" s="13"/>
      <c r="C921" s="13"/>
      <c r="D921" s="14"/>
      <c r="E921" s="13"/>
    </row>
    <row r="922" spans="1:5" x14ac:dyDescent="0.25">
      <c r="A922" s="13"/>
      <c r="B922" s="13"/>
      <c r="C922" s="13"/>
      <c r="D922" s="14"/>
      <c r="E922" s="13"/>
    </row>
    <row r="923" spans="1:5" x14ac:dyDescent="0.25">
      <c r="A923" s="13"/>
      <c r="B923" s="13"/>
      <c r="C923" s="13"/>
      <c r="D923" s="14"/>
      <c r="E923" s="13"/>
    </row>
    <row r="924" spans="1:5" x14ac:dyDescent="0.25">
      <c r="A924" s="13"/>
      <c r="B924" s="13"/>
      <c r="C924" s="13"/>
      <c r="D924" s="14"/>
      <c r="E924" s="13"/>
    </row>
    <row r="925" spans="1:5" x14ac:dyDescent="0.25">
      <c r="A925" s="13"/>
      <c r="B925" s="13"/>
      <c r="C925" s="13"/>
      <c r="D925" s="14"/>
      <c r="E925" s="13"/>
    </row>
    <row r="926" spans="1:5" x14ac:dyDescent="0.25">
      <c r="A926" s="13"/>
      <c r="B926" s="13"/>
      <c r="C926" s="13"/>
      <c r="D926" s="14"/>
      <c r="E926" s="13"/>
    </row>
    <row r="927" spans="1:5" x14ac:dyDescent="0.25">
      <c r="A927" s="13"/>
      <c r="B927" s="13"/>
      <c r="C927" s="13"/>
      <c r="D927" s="14"/>
      <c r="E927" s="13"/>
    </row>
    <row r="928" spans="1:5" x14ac:dyDescent="0.25">
      <c r="A928" s="13"/>
      <c r="B928" s="13"/>
      <c r="C928" s="13"/>
      <c r="D928" s="14"/>
      <c r="E928" s="13"/>
    </row>
    <row r="929" spans="1:5" x14ac:dyDescent="0.25">
      <c r="A929" s="13"/>
      <c r="B929" s="13"/>
      <c r="C929" s="13"/>
      <c r="D929" s="14"/>
      <c r="E929" s="13"/>
    </row>
    <row r="930" spans="1:5" x14ac:dyDescent="0.25">
      <c r="A930" s="13"/>
      <c r="B930" s="13"/>
      <c r="C930" s="13"/>
      <c r="D930" s="14"/>
      <c r="E930" s="13"/>
    </row>
    <row r="931" spans="1:5" x14ac:dyDescent="0.25">
      <c r="A931" s="13"/>
      <c r="B931" s="13"/>
      <c r="C931" s="13"/>
      <c r="D931" s="14"/>
      <c r="E931" s="13"/>
    </row>
    <row r="932" spans="1:5" x14ac:dyDescent="0.25">
      <c r="A932" s="13"/>
      <c r="B932" s="13"/>
      <c r="C932" s="13"/>
      <c r="D932" s="14"/>
      <c r="E932" s="13"/>
    </row>
    <row r="933" spans="1:5" x14ac:dyDescent="0.25">
      <c r="A933" s="13"/>
      <c r="B933" s="13"/>
      <c r="C933" s="13"/>
      <c r="D933" s="14"/>
      <c r="E933" s="13"/>
    </row>
    <row r="934" spans="1:5" x14ac:dyDescent="0.25">
      <c r="A934" s="13"/>
      <c r="B934" s="13"/>
      <c r="C934" s="13"/>
      <c r="D934" s="14"/>
      <c r="E934" s="13"/>
    </row>
    <row r="935" spans="1:5" x14ac:dyDescent="0.25">
      <c r="A935" s="13"/>
      <c r="B935" s="13"/>
      <c r="C935" s="13"/>
      <c r="D935" s="14"/>
      <c r="E935" s="13"/>
    </row>
    <row r="936" spans="1:5" x14ac:dyDescent="0.25">
      <c r="A936" s="13"/>
      <c r="B936" s="13"/>
      <c r="C936" s="13"/>
      <c r="D936" s="14"/>
      <c r="E936" s="13"/>
    </row>
    <row r="937" spans="1:5" x14ac:dyDescent="0.25">
      <c r="A937" s="13"/>
      <c r="B937" s="13"/>
      <c r="C937" s="13"/>
      <c r="D937" s="14"/>
      <c r="E937" s="13"/>
    </row>
    <row r="938" spans="1:5" x14ac:dyDescent="0.25">
      <c r="A938" s="13"/>
      <c r="B938" s="13"/>
      <c r="C938" s="13"/>
      <c r="D938" s="14"/>
      <c r="E938" s="13"/>
    </row>
    <row r="939" spans="1:5" x14ac:dyDescent="0.25">
      <c r="A939" s="13"/>
      <c r="B939" s="13"/>
      <c r="C939" s="13"/>
      <c r="D939" s="14"/>
      <c r="E939" s="13"/>
    </row>
    <row r="940" spans="1:5" x14ac:dyDescent="0.25">
      <c r="A940" s="13"/>
      <c r="B940" s="13"/>
      <c r="C940" s="13"/>
      <c r="D940" s="14"/>
      <c r="E940" s="13"/>
    </row>
    <row r="941" spans="1:5" x14ac:dyDescent="0.25">
      <c r="A941" s="13"/>
      <c r="B941" s="13"/>
      <c r="C941" s="13"/>
      <c r="D941" s="14"/>
      <c r="E941" s="13"/>
    </row>
    <row r="942" spans="1:5" x14ac:dyDescent="0.25">
      <c r="A942" s="13"/>
      <c r="B942" s="13"/>
      <c r="C942" s="13"/>
      <c r="D942" s="14"/>
      <c r="E942" s="13"/>
    </row>
    <row r="943" spans="1:5" x14ac:dyDescent="0.25">
      <c r="A943" s="13"/>
      <c r="B943" s="13"/>
      <c r="C943" s="13"/>
      <c r="D943" s="14"/>
      <c r="E943" s="13"/>
    </row>
    <row r="944" spans="1:5" x14ac:dyDescent="0.25">
      <c r="A944" s="13"/>
      <c r="B944" s="13"/>
      <c r="C944" s="13"/>
      <c r="D944" s="14"/>
      <c r="E944" s="13"/>
    </row>
    <row r="945" spans="1:5" x14ac:dyDescent="0.25">
      <c r="A945" s="13"/>
      <c r="B945" s="13"/>
      <c r="C945" s="13"/>
      <c r="D945" s="14"/>
      <c r="E945" s="13"/>
    </row>
    <row r="946" spans="1:5" x14ac:dyDescent="0.25">
      <c r="A946" s="13"/>
      <c r="B946" s="13"/>
      <c r="C946" s="13"/>
      <c r="D946" s="14"/>
      <c r="E946" s="13"/>
    </row>
    <row r="947" spans="1:5" x14ac:dyDescent="0.25">
      <c r="A947" s="13"/>
      <c r="B947" s="13"/>
      <c r="C947" s="13"/>
      <c r="D947" s="14"/>
      <c r="E947" s="13"/>
    </row>
    <row r="948" spans="1:5" x14ac:dyDescent="0.25">
      <c r="A948" s="13"/>
      <c r="B948" s="13"/>
      <c r="C948" s="13"/>
      <c r="D948" s="14"/>
      <c r="E948" s="13"/>
    </row>
    <row r="949" spans="1:5" x14ac:dyDescent="0.25">
      <c r="A949" s="13"/>
      <c r="B949" s="13"/>
      <c r="C949" s="13"/>
      <c r="D949" s="14"/>
      <c r="E949" s="13"/>
    </row>
    <row r="950" spans="1:5" x14ac:dyDescent="0.25">
      <c r="A950" s="13"/>
      <c r="B950" s="13"/>
      <c r="C950" s="13"/>
      <c r="D950" s="14"/>
      <c r="E950" s="13"/>
    </row>
    <row r="951" spans="1:5" x14ac:dyDescent="0.25">
      <c r="A951" s="13"/>
      <c r="B951" s="13"/>
      <c r="C951" s="13"/>
      <c r="D951" s="14"/>
      <c r="E951" s="13"/>
    </row>
    <row r="952" spans="1:5" x14ac:dyDescent="0.25">
      <c r="A952" s="13"/>
      <c r="B952" s="13"/>
      <c r="C952" s="13"/>
      <c r="D952" s="14"/>
      <c r="E952" s="13"/>
    </row>
    <row r="953" spans="1:5" x14ac:dyDescent="0.25">
      <c r="A953" s="13"/>
      <c r="B953" s="13"/>
      <c r="C953" s="13"/>
      <c r="D953" s="14"/>
      <c r="E953" s="13"/>
    </row>
    <row r="954" spans="1:5" x14ac:dyDescent="0.25">
      <c r="A954" s="13"/>
      <c r="B954" s="13"/>
      <c r="C954" s="13"/>
      <c r="D954" s="14"/>
      <c r="E954" s="13"/>
    </row>
    <row r="955" spans="1:5" x14ac:dyDescent="0.25">
      <c r="A955" s="13"/>
      <c r="B955" s="13"/>
      <c r="C955" s="13"/>
      <c r="D955" s="14"/>
      <c r="E955" s="13"/>
    </row>
    <row r="956" spans="1:5" x14ac:dyDescent="0.25">
      <c r="A956" s="13"/>
      <c r="B956" s="13"/>
      <c r="C956" s="13"/>
      <c r="D956" s="14"/>
      <c r="E956" s="13"/>
    </row>
    <row r="957" spans="1:5" x14ac:dyDescent="0.25">
      <c r="A957" s="13"/>
      <c r="B957" s="13"/>
      <c r="C957" s="13"/>
      <c r="D957" s="14"/>
      <c r="E957" s="13"/>
    </row>
    <row r="958" spans="1:5" x14ac:dyDescent="0.25">
      <c r="A958" s="13"/>
      <c r="B958" s="13"/>
      <c r="C958" s="13"/>
      <c r="D958" s="14"/>
      <c r="E958" s="13"/>
    </row>
    <row r="959" spans="1:5" x14ac:dyDescent="0.25">
      <c r="A959" s="13"/>
      <c r="B959" s="13"/>
      <c r="C959" s="13"/>
      <c r="D959" s="14"/>
      <c r="E959" s="13"/>
    </row>
    <row r="960" spans="1:5" x14ac:dyDescent="0.25">
      <c r="A960" s="13"/>
      <c r="B960" s="13"/>
      <c r="C960" s="13"/>
      <c r="D960" s="14"/>
      <c r="E960" s="13"/>
    </row>
    <row r="961" spans="1:5" x14ac:dyDescent="0.25">
      <c r="A961" s="13"/>
      <c r="B961" s="13"/>
      <c r="C961" s="13"/>
      <c r="D961" s="14"/>
      <c r="E961" s="13"/>
    </row>
    <row r="962" spans="1:5" x14ac:dyDescent="0.25">
      <c r="A962" s="13"/>
      <c r="B962" s="13"/>
      <c r="C962" s="13"/>
      <c r="D962" s="14"/>
      <c r="E962" s="13"/>
    </row>
    <row r="963" spans="1:5" x14ac:dyDescent="0.25">
      <c r="A963" s="13"/>
      <c r="B963" s="13"/>
      <c r="C963" s="13"/>
      <c r="D963" s="14"/>
      <c r="E963" s="13"/>
    </row>
    <row r="964" spans="1:5" x14ac:dyDescent="0.25">
      <c r="A964" s="13"/>
      <c r="B964" s="13"/>
      <c r="C964" s="13"/>
      <c r="D964" s="14"/>
      <c r="E964" s="13"/>
    </row>
    <row r="965" spans="1:5" x14ac:dyDescent="0.25">
      <c r="A965" s="13"/>
      <c r="B965" s="13"/>
      <c r="C965" s="13"/>
      <c r="D965" s="14"/>
      <c r="E965" s="13"/>
    </row>
    <row r="966" spans="1:5" x14ac:dyDescent="0.25">
      <c r="A966" s="13"/>
      <c r="B966" s="13"/>
      <c r="C966" s="13"/>
      <c r="D966" s="14"/>
      <c r="E966" s="13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57A2-C642-4601-82C8-6662139B11AA}">
  <dimension ref="B2:B3"/>
  <sheetViews>
    <sheetView workbookViewId="0">
      <selection activeCell="H9" sqref="H9"/>
    </sheetView>
  </sheetViews>
  <sheetFormatPr defaultRowHeight="15" x14ac:dyDescent="0.25"/>
  <sheetData>
    <row r="2" spans="2:2" x14ac:dyDescent="0.25">
      <c r="B2" t="s">
        <v>554</v>
      </c>
    </row>
    <row r="3" spans="2:2" x14ac:dyDescent="0.25">
      <c r="B3" t="s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1BDC-39AC-427E-A74A-667C51FB7AE8}">
  <dimension ref="A1:BU75"/>
  <sheetViews>
    <sheetView workbookViewId="0">
      <selection activeCell="K17" activeCellId="1" sqref="I24 K17"/>
    </sheetView>
  </sheetViews>
  <sheetFormatPr defaultRowHeight="15" x14ac:dyDescent="0.25"/>
  <cols>
    <col min="2" max="2" width="35.7109375" bestFit="1" customWidth="1"/>
    <col min="7" max="7" width="9.28515625" customWidth="1"/>
    <col min="9" max="9" width="8.85546875" customWidth="1"/>
    <col min="11" max="11" width="12" bestFit="1" customWidth="1"/>
  </cols>
  <sheetData>
    <row r="1" spans="1:73" x14ac:dyDescent="0.25">
      <c r="A1" s="31" t="s">
        <v>407</v>
      </c>
      <c r="B1" s="31" t="s">
        <v>408</v>
      </c>
      <c r="C1" s="31" t="s">
        <v>409</v>
      </c>
      <c r="D1" t="s">
        <v>410</v>
      </c>
      <c r="E1" t="s">
        <v>411</v>
      </c>
      <c r="F1" t="s">
        <v>412</v>
      </c>
      <c r="G1" s="19" t="s">
        <v>413</v>
      </c>
      <c r="H1" t="s">
        <v>414</v>
      </c>
      <c r="I1" s="19" t="s">
        <v>415</v>
      </c>
      <c r="J1" t="s">
        <v>416</v>
      </c>
      <c r="K1" s="19" t="s">
        <v>417</v>
      </c>
      <c r="L1" t="s">
        <v>418</v>
      </c>
      <c r="M1" t="s">
        <v>419</v>
      </c>
      <c r="N1" t="s">
        <v>420</v>
      </c>
      <c r="O1" t="s">
        <v>421</v>
      </c>
      <c r="P1" t="s">
        <v>422</v>
      </c>
      <c r="Q1" s="20" t="s">
        <v>423</v>
      </c>
      <c r="R1" t="s">
        <v>424</v>
      </c>
      <c r="S1" t="s">
        <v>425</v>
      </c>
      <c r="T1" t="s">
        <v>426</v>
      </c>
      <c r="U1" t="s">
        <v>427</v>
      </c>
      <c r="V1" t="s">
        <v>428</v>
      </c>
      <c r="W1" t="s">
        <v>429</v>
      </c>
      <c r="X1" t="s">
        <v>430</v>
      </c>
      <c r="Y1" t="s">
        <v>431</v>
      </c>
      <c r="Z1" t="s">
        <v>432</v>
      </c>
      <c r="AA1" s="31" t="s">
        <v>433</v>
      </c>
      <c r="AB1" t="s">
        <v>434</v>
      </c>
      <c r="AC1" t="s">
        <v>435</v>
      </c>
      <c r="AD1" t="s">
        <v>436</v>
      </c>
      <c r="AE1" t="s">
        <v>437</v>
      </c>
      <c r="AF1" t="s">
        <v>438</v>
      </c>
      <c r="AG1" t="s">
        <v>439</v>
      </c>
      <c r="AH1" t="s">
        <v>440</v>
      </c>
      <c r="AI1" t="s">
        <v>441</v>
      </c>
      <c r="AJ1" t="s">
        <v>442</v>
      </c>
      <c r="AK1" t="s">
        <v>443</v>
      </c>
      <c r="AL1" t="s">
        <v>444</v>
      </c>
      <c r="AM1" t="s">
        <v>445</v>
      </c>
      <c r="AN1" t="s">
        <v>446</v>
      </c>
      <c r="AO1" t="s">
        <v>447</v>
      </c>
      <c r="AP1" t="s">
        <v>448</v>
      </c>
      <c r="AQ1" t="s">
        <v>449</v>
      </c>
      <c r="AR1" t="s">
        <v>450</v>
      </c>
      <c r="AS1" t="s">
        <v>451</v>
      </c>
      <c r="AT1" t="s">
        <v>452</v>
      </c>
      <c r="AU1" t="s">
        <v>453</v>
      </c>
      <c r="AV1" t="s">
        <v>454</v>
      </c>
      <c r="AW1" t="s">
        <v>455</v>
      </c>
      <c r="AX1" t="s">
        <v>456</v>
      </c>
      <c r="AY1" t="s">
        <v>457</v>
      </c>
      <c r="AZ1" t="s">
        <v>458</v>
      </c>
      <c r="BA1" t="s">
        <v>459</v>
      </c>
      <c r="BB1" t="s">
        <v>460</v>
      </c>
      <c r="BC1" t="s">
        <v>461</v>
      </c>
      <c r="BD1" t="s">
        <v>462</v>
      </c>
      <c r="BE1" t="s">
        <v>463</v>
      </c>
      <c r="BF1" t="s">
        <v>464</v>
      </c>
      <c r="BG1" t="s">
        <v>465</v>
      </c>
      <c r="BH1" t="s">
        <v>466</v>
      </c>
      <c r="BI1" t="s">
        <v>467</v>
      </c>
      <c r="BJ1" t="s">
        <v>468</v>
      </c>
      <c r="BK1" t="s">
        <v>469</v>
      </c>
      <c r="BL1" t="s">
        <v>470</v>
      </c>
      <c r="BM1" t="s">
        <v>471</v>
      </c>
      <c r="BN1" t="s">
        <v>472</v>
      </c>
      <c r="BO1" t="s">
        <v>473</v>
      </c>
      <c r="BP1" t="s">
        <v>474</v>
      </c>
      <c r="BQ1" t="s">
        <v>475</v>
      </c>
      <c r="BR1" t="s">
        <v>476</v>
      </c>
      <c r="BS1" t="s">
        <v>477</v>
      </c>
      <c r="BT1" t="s">
        <v>478</v>
      </c>
      <c r="BU1" t="s">
        <v>479</v>
      </c>
    </row>
    <row r="2" spans="1:73" x14ac:dyDescent="0.25">
      <c r="A2">
        <v>1</v>
      </c>
      <c r="B2" t="s">
        <v>480</v>
      </c>
      <c r="C2" t="s">
        <v>481</v>
      </c>
      <c r="D2" s="21">
        <f>ROUND(D40,3)</f>
        <v>21.366</v>
      </c>
      <c r="E2">
        <v>20</v>
      </c>
      <c r="F2">
        <v>1.07</v>
      </c>
      <c r="G2" s="21">
        <f>ROUND(G40,3)</f>
        <v>5.2590000000000003</v>
      </c>
      <c r="H2">
        <v>0</v>
      </c>
      <c r="I2" s="21">
        <f>ROUND(I40,3)</f>
        <v>12.862</v>
      </c>
      <c r="J2" t="s">
        <v>482</v>
      </c>
      <c r="K2">
        <v>12.76</v>
      </c>
      <c r="L2">
        <v>1.4710000000000001</v>
      </c>
      <c r="M2">
        <v>4.1470000000000002</v>
      </c>
      <c r="N2" s="21">
        <f t="shared" ref="N2:P17" si="0">ROUND(N40,3)</f>
        <v>0</v>
      </c>
      <c r="O2" s="21">
        <f t="shared" si="0"/>
        <v>1</v>
      </c>
      <c r="P2" s="21">
        <f t="shared" si="0"/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 t="s">
        <v>483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32.799999999999997</v>
      </c>
      <c r="AU2">
        <v>-1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111708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 x14ac:dyDescent="0.25">
      <c r="A3">
        <v>2</v>
      </c>
      <c r="B3" t="s">
        <v>484</v>
      </c>
      <c r="C3" t="s">
        <v>481</v>
      </c>
      <c r="D3" s="21">
        <f t="shared" ref="D3:D37" si="1">ROUND(D41,3)</f>
        <v>42.069000000000003</v>
      </c>
      <c r="E3">
        <v>2</v>
      </c>
      <c r="F3">
        <v>21</v>
      </c>
      <c r="G3" s="21">
        <f t="shared" ref="G3:G37" si="2">ROUND(G41,3)</f>
        <v>0</v>
      </c>
      <c r="H3">
        <v>0</v>
      </c>
      <c r="I3" s="21">
        <f t="shared" ref="I3:I37" si="3">ROUND(I41,3)</f>
        <v>4.4240000000000004</v>
      </c>
      <c r="J3" t="s">
        <v>482</v>
      </c>
      <c r="K3">
        <v>0</v>
      </c>
      <c r="L3">
        <v>0</v>
      </c>
      <c r="M3">
        <v>0</v>
      </c>
      <c r="N3" s="21">
        <f t="shared" si="0"/>
        <v>0</v>
      </c>
      <c r="O3" s="21">
        <f t="shared" si="0"/>
        <v>1</v>
      </c>
      <c r="P3" s="21">
        <f t="shared" si="0"/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0.86599999999999999</v>
      </c>
      <c r="W3">
        <v>0.86599999999999999</v>
      </c>
      <c r="X3">
        <v>6.3E-3</v>
      </c>
      <c r="Y3">
        <v>0</v>
      </c>
      <c r="Z3">
        <v>0</v>
      </c>
      <c r="AA3">
        <v>1</v>
      </c>
      <c r="AB3">
        <v>1</v>
      </c>
      <c r="AC3" t="s">
        <v>483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42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38460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>
        <v>3</v>
      </c>
      <c r="B4" t="s">
        <v>485</v>
      </c>
      <c r="C4" t="s">
        <v>481</v>
      </c>
      <c r="D4" s="21">
        <f t="shared" si="1"/>
        <v>607.375</v>
      </c>
      <c r="E4">
        <v>1</v>
      </c>
      <c r="F4">
        <v>607.1</v>
      </c>
      <c r="G4" s="21">
        <f t="shared" si="2"/>
        <v>3.4239999999999999</v>
      </c>
      <c r="H4">
        <v>0</v>
      </c>
      <c r="I4" s="21">
        <f t="shared" si="3"/>
        <v>1.0669999999999999</v>
      </c>
      <c r="J4" t="s">
        <v>486</v>
      </c>
      <c r="K4">
        <v>7.52</v>
      </c>
      <c r="L4">
        <v>0</v>
      </c>
      <c r="M4">
        <v>0</v>
      </c>
      <c r="N4" s="21">
        <f t="shared" si="0"/>
        <v>0</v>
      </c>
      <c r="O4" s="21">
        <f t="shared" si="0"/>
        <v>0.40100000000000002</v>
      </c>
      <c r="P4" s="21">
        <f t="shared" si="0"/>
        <v>0.40300000000000002</v>
      </c>
      <c r="Q4">
        <v>80</v>
      </c>
      <c r="R4">
        <v>2</v>
      </c>
      <c r="S4">
        <v>6</v>
      </c>
      <c r="T4">
        <v>6</v>
      </c>
      <c r="U4">
        <v>0</v>
      </c>
      <c r="V4">
        <v>1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 t="s">
        <v>483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607.1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9270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>
        <v>4</v>
      </c>
      <c r="B5" t="s">
        <v>485</v>
      </c>
      <c r="C5" t="s">
        <v>481</v>
      </c>
      <c r="D5" s="21">
        <f t="shared" si="1"/>
        <v>30.018999999999998</v>
      </c>
      <c r="E5">
        <v>1</v>
      </c>
      <c r="F5">
        <v>30</v>
      </c>
      <c r="G5" s="21">
        <f t="shared" si="2"/>
        <v>4.335</v>
      </c>
      <c r="H5">
        <v>0</v>
      </c>
      <c r="I5" s="21">
        <f t="shared" si="3"/>
        <v>1.784</v>
      </c>
      <c r="J5" t="s">
        <v>486</v>
      </c>
      <c r="K5">
        <v>7.5</v>
      </c>
      <c r="L5">
        <v>0</v>
      </c>
      <c r="M5">
        <v>0</v>
      </c>
      <c r="N5" s="21">
        <f t="shared" si="0"/>
        <v>0</v>
      </c>
      <c r="O5" s="21">
        <f t="shared" si="0"/>
        <v>0.39900000000000002</v>
      </c>
      <c r="P5" s="21">
        <f t="shared" si="0"/>
        <v>0.4</v>
      </c>
      <c r="Q5">
        <v>80</v>
      </c>
      <c r="R5">
        <v>2</v>
      </c>
      <c r="S5">
        <v>6</v>
      </c>
      <c r="T5">
        <v>6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2</v>
      </c>
      <c r="AB5">
        <v>1</v>
      </c>
      <c r="AC5" t="s">
        <v>483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30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15620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>
        <v>5</v>
      </c>
      <c r="B6" t="s">
        <v>485</v>
      </c>
      <c r="C6" t="s">
        <v>481</v>
      </c>
      <c r="D6" s="21">
        <f t="shared" si="1"/>
        <v>49.686</v>
      </c>
      <c r="E6">
        <v>1</v>
      </c>
      <c r="F6">
        <v>49.4</v>
      </c>
      <c r="G6" s="21">
        <f t="shared" si="2"/>
        <v>4.34</v>
      </c>
      <c r="H6">
        <v>0</v>
      </c>
      <c r="I6" s="21">
        <f t="shared" si="3"/>
        <v>1.796</v>
      </c>
      <c r="J6" t="s">
        <v>486</v>
      </c>
      <c r="K6">
        <v>7.5</v>
      </c>
      <c r="L6">
        <v>0</v>
      </c>
      <c r="M6">
        <v>0</v>
      </c>
      <c r="N6" s="21">
        <f t="shared" si="0"/>
        <v>0</v>
      </c>
      <c r="O6" s="21">
        <f t="shared" si="0"/>
        <v>0.39800000000000002</v>
      </c>
      <c r="P6" s="21">
        <f t="shared" si="0"/>
        <v>0.40300000000000002</v>
      </c>
      <c r="Q6">
        <v>80</v>
      </c>
      <c r="R6">
        <v>2</v>
      </c>
      <c r="S6">
        <v>6</v>
      </c>
      <c r="T6">
        <v>6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3</v>
      </c>
      <c r="AB6">
        <v>1</v>
      </c>
      <c r="AC6" t="s">
        <v>483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49.4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15620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5">
      <c r="A7">
        <v>6</v>
      </c>
      <c r="B7" t="s">
        <v>485</v>
      </c>
      <c r="C7" t="s">
        <v>481</v>
      </c>
      <c r="D7" s="21">
        <f t="shared" si="1"/>
        <v>571.64499999999998</v>
      </c>
      <c r="E7">
        <v>1</v>
      </c>
      <c r="F7">
        <v>570</v>
      </c>
      <c r="G7" s="21">
        <f t="shared" si="2"/>
        <v>3.4039999999999999</v>
      </c>
      <c r="H7">
        <v>0</v>
      </c>
      <c r="I7" s="21">
        <f t="shared" si="3"/>
        <v>1.0580000000000001</v>
      </c>
      <c r="J7" t="s">
        <v>486</v>
      </c>
      <c r="K7">
        <v>7.15</v>
      </c>
      <c r="L7">
        <v>0</v>
      </c>
      <c r="M7">
        <v>0</v>
      </c>
      <c r="N7" s="21">
        <f t="shared" si="0"/>
        <v>0</v>
      </c>
      <c r="O7" s="21">
        <f t="shared" si="0"/>
        <v>0.40100000000000002</v>
      </c>
      <c r="P7" s="21">
        <f t="shared" si="0"/>
        <v>0.4</v>
      </c>
      <c r="Q7">
        <v>80</v>
      </c>
      <c r="R7">
        <v>2</v>
      </c>
      <c r="S7">
        <v>6</v>
      </c>
      <c r="T7">
        <v>6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4</v>
      </c>
      <c r="AB7">
        <v>1</v>
      </c>
      <c r="AC7" t="s">
        <v>483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570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9270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>
        <v>7</v>
      </c>
      <c r="B8" t="s">
        <v>485</v>
      </c>
      <c r="C8" t="s">
        <v>481</v>
      </c>
      <c r="D8" s="21">
        <f t="shared" si="1"/>
        <v>339.11799999999999</v>
      </c>
      <c r="E8">
        <v>3</v>
      </c>
      <c r="F8">
        <v>112</v>
      </c>
      <c r="G8" s="21">
        <f t="shared" si="2"/>
        <v>10.843999999999999</v>
      </c>
      <c r="H8">
        <v>0</v>
      </c>
      <c r="I8" s="21">
        <f t="shared" si="3"/>
        <v>0.81799999999999995</v>
      </c>
      <c r="J8" t="s">
        <v>486</v>
      </c>
      <c r="K8">
        <v>8</v>
      </c>
      <c r="L8">
        <v>0</v>
      </c>
      <c r="M8">
        <v>0</v>
      </c>
      <c r="N8" s="21">
        <f t="shared" si="0"/>
        <v>0</v>
      </c>
      <c r="O8" s="21">
        <f t="shared" si="0"/>
        <v>3.7650000000000001</v>
      </c>
      <c r="P8" s="21">
        <f t="shared" si="0"/>
        <v>3.8039999999999998</v>
      </c>
      <c r="Q8">
        <v>80</v>
      </c>
      <c r="R8">
        <v>3.5</v>
      </c>
      <c r="S8">
        <v>6</v>
      </c>
      <c r="T8">
        <v>6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5</v>
      </c>
      <c r="AB8">
        <v>1</v>
      </c>
      <c r="AC8" t="s">
        <v>483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336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7162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>
        <v>8</v>
      </c>
      <c r="B9" t="s">
        <v>485</v>
      </c>
      <c r="C9" t="s">
        <v>481</v>
      </c>
      <c r="D9" s="21">
        <f t="shared" si="1"/>
        <v>336.18</v>
      </c>
      <c r="E9">
        <v>3</v>
      </c>
      <c r="F9">
        <v>112</v>
      </c>
      <c r="G9" s="21">
        <f t="shared" si="2"/>
        <v>10.904</v>
      </c>
      <c r="H9">
        <v>0</v>
      </c>
      <c r="I9" s="21">
        <f t="shared" si="3"/>
        <v>0.81100000000000005</v>
      </c>
      <c r="J9" t="s">
        <v>486</v>
      </c>
      <c r="K9">
        <v>8.1</v>
      </c>
      <c r="L9">
        <v>0</v>
      </c>
      <c r="M9">
        <v>0</v>
      </c>
      <c r="N9" s="21">
        <f t="shared" si="0"/>
        <v>0</v>
      </c>
      <c r="O9" s="21">
        <f t="shared" si="0"/>
        <v>3.8010000000000002</v>
      </c>
      <c r="P9" s="21">
        <f t="shared" si="0"/>
        <v>3.7629999999999999</v>
      </c>
      <c r="Q9">
        <v>80</v>
      </c>
      <c r="R9">
        <v>3.5</v>
      </c>
      <c r="S9">
        <v>6</v>
      </c>
      <c r="T9">
        <v>6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6</v>
      </c>
      <c r="AB9">
        <v>1</v>
      </c>
      <c r="AC9" t="s">
        <v>483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336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7162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>
        <v>9</v>
      </c>
      <c r="B10" t="s">
        <v>487</v>
      </c>
      <c r="C10" t="s">
        <v>481</v>
      </c>
      <c r="D10" s="21">
        <f t="shared" si="1"/>
        <v>90.805999999999997</v>
      </c>
      <c r="E10">
        <v>2</v>
      </c>
      <c r="F10">
        <v>45.8</v>
      </c>
      <c r="G10" s="21">
        <f t="shared" si="2"/>
        <v>10.756</v>
      </c>
      <c r="H10">
        <v>0</v>
      </c>
      <c r="I10" s="21">
        <f t="shared" si="3"/>
        <v>1.2829999999999999</v>
      </c>
      <c r="J10" t="s">
        <v>486</v>
      </c>
      <c r="K10">
        <v>10.69</v>
      </c>
      <c r="L10">
        <v>0</v>
      </c>
      <c r="M10">
        <v>0</v>
      </c>
      <c r="N10" s="21">
        <f t="shared" si="0"/>
        <v>0</v>
      </c>
      <c r="O10" s="21">
        <f t="shared" si="0"/>
        <v>3.794</v>
      </c>
      <c r="P10" s="21">
        <f t="shared" si="0"/>
        <v>3.8159999999999998</v>
      </c>
      <c r="Q10">
        <v>40</v>
      </c>
      <c r="R10">
        <v>3.5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  <c r="AB10">
        <v>1</v>
      </c>
      <c r="AC10" t="s">
        <v>483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91.6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11182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>
        <v>10</v>
      </c>
      <c r="B11" t="s">
        <v>487</v>
      </c>
      <c r="C11" t="s">
        <v>481</v>
      </c>
      <c r="D11" s="21">
        <f t="shared" si="1"/>
        <v>49.691000000000003</v>
      </c>
      <c r="E11">
        <v>1</v>
      </c>
      <c r="F11">
        <v>49.9</v>
      </c>
      <c r="G11" s="21">
        <f t="shared" si="2"/>
        <v>10.757999999999999</v>
      </c>
      <c r="H11">
        <v>0</v>
      </c>
      <c r="I11" s="21">
        <f t="shared" si="3"/>
        <v>1.286</v>
      </c>
      <c r="J11" t="s">
        <v>486</v>
      </c>
      <c r="K11">
        <v>10.48</v>
      </c>
      <c r="L11">
        <v>0</v>
      </c>
      <c r="M11">
        <v>0</v>
      </c>
      <c r="N11" s="21">
        <f t="shared" si="0"/>
        <v>0</v>
      </c>
      <c r="O11" s="21">
        <f t="shared" si="0"/>
        <v>3.7749999999999999</v>
      </c>
      <c r="P11" s="21">
        <f t="shared" si="0"/>
        <v>3.8130000000000002</v>
      </c>
      <c r="Q11">
        <v>40</v>
      </c>
      <c r="R11">
        <v>3.5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2</v>
      </c>
      <c r="AB11">
        <v>1</v>
      </c>
      <c r="AC11" t="s">
        <v>483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49.9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11182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>
        <v>11</v>
      </c>
      <c r="B12" t="s">
        <v>487</v>
      </c>
      <c r="C12" t="s">
        <v>481</v>
      </c>
      <c r="D12" s="21">
        <f t="shared" si="1"/>
        <v>48.408000000000001</v>
      </c>
      <c r="E12">
        <v>1</v>
      </c>
      <c r="F12">
        <v>48.1</v>
      </c>
      <c r="G12" s="21">
        <f t="shared" si="2"/>
        <v>10.792</v>
      </c>
      <c r="H12">
        <v>0</v>
      </c>
      <c r="I12" s="21">
        <f t="shared" si="3"/>
        <v>1.286</v>
      </c>
      <c r="J12" t="s">
        <v>486</v>
      </c>
      <c r="K12">
        <v>11.04</v>
      </c>
      <c r="L12">
        <v>0</v>
      </c>
      <c r="M12">
        <v>0</v>
      </c>
      <c r="N12" s="21">
        <f t="shared" si="0"/>
        <v>0</v>
      </c>
      <c r="O12" s="21">
        <f t="shared" si="0"/>
        <v>3.7610000000000001</v>
      </c>
      <c r="P12" s="21">
        <f t="shared" si="0"/>
        <v>3.7909999999999999</v>
      </c>
      <c r="Q12">
        <v>40</v>
      </c>
      <c r="R12">
        <v>3.5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3</v>
      </c>
      <c r="AB12">
        <v>1</v>
      </c>
      <c r="AC12" t="s">
        <v>483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48.1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11182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>
        <v>12</v>
      </c>
      <c r="B13" t="s">
        <v>487</v>
      </c>
      <c r="C13" t="s">
        <v>481</v>
      </c>
      <c r="D13" s="21">
        <f t="shared" si="1"/>
        <v>34.494</v>
      </c>
      <c r="E13">
        <v>1</v>
      </c>
      <c r="F13">
        <v>34.6</v>
      </c>
      <c r="G13" s="21">
        <f t="shared" si="2"/>
        <v>10.858000000000001</v>
      </c>
      <c r="H13">
        <v>0</v>
      </c>
      <c r="I13" s="21">
        <f t="shared" si="3"/>
        <v>1.268</v>
      </c>
      <c r="J13" t="s">
        <v>486</v>
      </c>
      <c r="K13">
        <v>16.86</v>
      </c>
      <c r="L13">
        <v>0</v>
      </c>
      <c r="M13">
        <v>0</v>
      </c>
      <c r="N13" s="21">
        <f t="shared" si="0"/>
        <v>0</v>
      </c>
      <c r="O13" s="21">
        <f t="shared" si="0"/>
        <v>3.8069999999999999</v>
      </c>
      <c r="P13" s="21">
        <f t="shared" si="0"/>
        <v>3.8109999999999999</v>
      </c>
      <c r="Q13">
        <v>40</v>
      </c>
      <c r="R13">
        <v>3.5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4</v>
      </c>
      <c r="AB13">
        <v>1</v>
      </c>
      <c r="AC13" t="s">
        <v>483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34.6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11182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>
        <v>13</v>
      </c>
      <c r="B14" t="s">
        <v>487</v>
      </c>
      <c r="C14" t="s">
        <v>481</v>
      </c>
      <c r="D14" s="21">
        <f t="shared" si="1"/>
        <v>96.114999999999995</v>
      </c>
      <c r="E14">
        <v>3</v>
      </c>
      <c r="F14">
        <v>32.200000000000003</v>
      </c>
      <c r="G14" s="21">
        <f t="shared" si="2"/>
        <v>10.772</v>
      </c>
      <c r="H14">
        <v>0</v>
      </c>
      <c r="I14" s="21">
        <f t="shared" si="3"/>
        <v>1.2649999999999999</v>
      </c>
      <c r="J14" t="s">
        <v>486</v>
      </c>
      <c r="K14">
        <v>10.5</v>
      </c>
      <c r="L14">
        <v>0</v>
      </c>
      <c r="M14">
        <v>0</v>
      </c>
      <c r="N14" s="21">
        <f t="shared" si="0"/>
        <v>0</v>
      </c>
      <c r="O14" s="21">
        <f t="shared" si="0"/>
        <v>3.7679999999999998</v>
      </c>
      <c r="P14" s="21">
        <f t="shared" si="0"/>
        <v>3.7610000000000001</v>
      </c>
      <c r="Q14">
        <v>40</v>
      </c>
      <c r="R14">
        <v>3.5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5</v>
      </c>
      <c r="AB14">
        <v>1</v>
      </c>
      <c r="AC14" t="s">
        <v>483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96.6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11182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>
        <v>20</v>
      </c>
      <c r="B15" t="s">
        <v>487</v>
      </c>
      <c r="C15" t="s">
        <v>481</v>
      </c>
      <c r="D15" s="21">
        <f t="shared" si="1"/>
        <v>48.572000000000003</v>
      </c>
      <c r="E15">
        <v>1</v>
      </c>
      <c r="F15">
        <v>48.9</v>
      </c>
      <c r="G15" s="21">
        <f t="shared" si="2"/>
        <v>10.696</v>
      </c>
      <c r="H15">
        <v>0</v>
      </c>
      <c r="I15" s="21">
        <f t="shared" si="3"/>
        <v>1.268</v>
      </c>
      <c r="J15" t="s">
        <v>486</v>
      </c>
      <c r="K15">
        <v>11.3</v>
      </c>
      <c r="L15">
        <v>0</v>
      </c>
      <c r="M15">
        <v>0</v>
      </c>
      <c r="N15" s="21">
        <f t="shared" si="0"/>
        <v>0</v>
      </c>
      <c r="O15" s="21">
        <f t="shared" si="0"/>
        <v>3.81</v>
      </c>
      <c r="P15" s="21">
        <f t="shared" si="0"/>
        <v>3.7989999999999999</v>
      </c>
      <c r="Q15">
        <v>40</v>
      </c>
      <c r="R15">
        <v>3.5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12</v>
      </c>
      <c r="AB15">
        <v>1</v>
      </c>
      <c r="AC15" t="s">
        <v>483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48.9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11182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>
        <v>21</v>
      </c>
      <c r="B16" t="s">
        <v>487</v>
      </c>
      <c r="C16" t="s">
        <v>481</v>
      </c>
      <c r="D16" s="21">
        <f t="shared" si="1"/>
        <v>51.148000000000003</v>
      </c>
      <c r="E16">
        <v>1</v>
      </c>
      <c r="F16">
        <v>51.3</v>
      </c>
      <c r="G16" s="21">
        <f t="shared" si="2"/>
        <v>10.744</v>
      </c>
      <c r="H16">
        <v>0</v>
      </c>
      <c r="I16" s="21">
        <f t="shared" si="3"/>
        <v>1.278</v>
      </c>
      <c r="J16" t="s">
        <v>486</v>
      </c>
      <c r="K16">
        <v>11.08</v>
      </c>
      <c r="L16">
        <v>0</v>
      </c>
      <c r="M16">
        <v>0</v>
      </c>
      <c r="N16" s="21">
        <f t="shared" si="0"/>
        <v>0</v>
      </c>
      <c r="O16" s="21">
        <f t="shared" si="0"/>
        <v>3.7989999999999999</v>
      </c>
      <c r="P16" s="21">
        <f t="shared" si="0"/>
        <v>3.7570000000000001</v>
      </c>
      <c r="Q16">
        <v>40</v>
      </c>
      <c r="R16">
        <v>3.5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13</v>
      </c>
      <c r="AB16">
        <v>1</v>
      </c>
      <c r="AC16" t="s">
        <v>483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51.3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11182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>
        <v>22</v>
      </c>
      <c r="B17" t="s">
        <v>487</v>
      </c>
      <c r="C17" t="s">
        <v>481</v>
      </c>
      <c r="D17" s="21">
        <f t="shared" si="1"/>
        <v>51.642000000000003</v>
      </c>
      <c r="E17">
        <v>1</v>
      </c>
      <c r="F17">
        <v>51.3</v>
      </c>
      <c r="G17" s="21">
        <f t="shared" si="2"/>
        <v>10.766999999999999</v>
      </c>
      <c r="H17">
        <v>0</v>
      </c>
      <c r="I17" s="21">
        <f t="shared" si="3"/>
        <v>1.2729999999999999</v>
      </c>
      <c r="J17" t="s">
        <v>486</v>
      </c>
      <c r="K17">
        <v>11.12</v>
      </c>
      <c r="L17">
        <v>0</v>
      </c>
      <c r="M17">
        <v>0</v>
      </c>
      <c r="N17" s="21">
        <f t="shared" si="0"/>
        <v>0</v>
      </c>
      <c r="O17" s="21">
        <f t="shared" si="0"/>
        <v>3.7519999999999998</v>
      </c>
      <c r="P17" s="21">
        <f t="shared" si="0"/>
        <v>3.7810000000000001</v>
      </c>
      <c r="Q17">
        <v>40</v>
      </c>
      <c r="R17">
        <v>3.5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0</v>
      </c>
      <c r="AA17">
        <v>14</v>
      </c>
      <c r="AB17">
        <v>1</v>
      </c>
      <c r="AC17" t="s">
        <v>483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51.3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11182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>
        <v>23</v>
      </c>
      <c r="B18" t="s">
        <v>487</v>
      </c>
      <c r="C18" t="s">
        <v>481</v>
      </c>
      <c r="D18" s="21">
        <f t="shared" si="1"/>
        <v>97.492000000000004</v>
      </c>
      <c r="E18">
        <v>2</v>
      </c>
      <c r="F18">
        <v>49.1</v>
      </c>
      <c r="G18" s="21">
        <f t="shared" si="2"/>
        <v>10.737</v>
      </c>
      <c r="H18">
        <v>0</v>
      </c>
      <c r="I18" s="21">
        <f t="shared" si="3"/>
        <v>1.2649999999999999</v>
      </c>
      <c r="J18" t="s">
        <v>486</v>
      </c>
      <c r="K18">
        <v>10.55</v>
      </c>
      <c r="L18">
        <v>0</v>
      </c>
      <c r="M18">
        <v>0</v>
      </c>
      <c r="N18" s="21">
        <f t="shared" ref="N18:P33" si="4">ROUND(N56,3)</f>
        <v>0</v>
      </c>
      <c r="O18" s="21">
        <f t="shared" si="4"/>
        <v>3.7759999999999998</v>
      </c>
      <c r="P18" s="21">
        <f t="shared" si="4"/>
        <v>3.7850000000000001</v>
      </c>
      <c r="Q18">
        <v>40</v>
      </c>
      <c r="R18">
        <v>3.5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15</v>
      </c>
      <c r="AB18">
        <v>1</v>
      </c>
      <c r="AC18" t="s">
        <v>483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98.2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11182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>
        <v>24</v>
      </c>
      <c r="B19" t="s">
        <v>487</v>
      </c>
      <c r="C19" t="s">
        <v>481</v>
      </c>
      <c r="D19" s="21">
        <f t="shared" si="1"/>
        <v>98.096999999999994</v>
      </c>
      <c r="E19">
        <v>2</v>
      </c>
      <c r="F19">
        <v>49.1</v>
      </c>
      <c r="G19" s="21">
        <f t="shared" si="2"/>
        <v>10.813000000000001</v>
      </c>
      <c r="H19">
        <v>0</v>
      </c>
      <c r="I19" s="21">
        <f t="shared" si="3"/>
        <v>1.2829999999999999</v>
      </c>
      <c r="J19" t="s">
        <v>486</v>
      </c>
      <c r="K19">
        <v>10.55</v>
      </c>
      <c r="L19">
        <v>0</v>
      </c>
      <c r="M19">
        <v>0</v>
      </c>
      <c r="N19" s="21">
        <f t="shared" si="4"/>
        <v>0</v>
      </c>
      <c r="O19" s="21">
        <f t="shared" si="4"/>
        <v>3.7629999999999999</v>
      </c>
      <c r="P19" s="21">
        <f t="shared" si="4"/>
        <v>3.7789999999999999</v>
      </c>
      <c r="Q19">
        <v>40</v>
      </c>
      <c r="R19">
        <v>3.5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16</v>
      </c>
      <c r="AB19">
        <v>1</v>
      </c>
      <c r="AC19" t="s">
        <v>483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98.2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11182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>
        <v>25</v>
      </c>
      <c r="B20" t="s">
        <v>487</v>
      </c>
      <c r="C20" t="s">
        <v>481</v>
      </c>
      <c r="D20" s="21">
        <f t="shared" si="1"/>
        <v>97.97</v>
      </c>
      <c r="E20">
        <v>2</v>
      </c>
      <c r="F20">
        <v>49.1</v>
      </c>
      <c r="G20" s="21">
        <f t="shared" si="2"/>
        <v>10.807</v>
      </c>
      <c r="H20">
        <v>0</v>
      </c>
      <c r="I20" s="21">
        <f t="shared" si="3"/>
        <v>1.27</v>
      </c>
      <c r="J20" t="s">
        <v>486</v>
      </c>
      <c r="K20">
        <v>10.55</v>
      </c>
      <c r="L20">
        <v>0</v>
      </c>
      <c r="M20">
        <v>0</v>
      </c>
      <c r="N20" s="21">
        <f t="shared" si="4"/>
        <v>0</v>
      </c>
      <c r="O20" s="21">
        <f t="shared" si="4"/>
        <v>3.7879999999999998</v>
      </c>
      <c r="P20" s="21">
        <f t="shared" si="4"/>
        <v>3.7749999999999999</v>
      </c>
      <c r="Q20">
        <v>40</v>
      </c>
      <c r="R20">
        <v>3.5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0</v>
      </c>
      <c r="AA20">
        <v>17</v>
      </c>
      <c r="AB20">
        <v>1</v>
      </c>
      <c r="AC20" t="s">
        <v>483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98.2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11182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>
        <v>26</v>
      </c>
      <c r="B21" t="s">
        <v>487</v>
      </c>
      <c r="C21" t="s">
        <v>481</v>
      </c>
      <c r="D21" s="21">
        <f t="shared" si="1"/>
        <v>97.971999999999994</v>
      </c>
      <c r="E21">
        <v>2</v>
      </c>
      <c r="F21">
        <v>49.1</v>
      </c>
      <c r="G21" s="21">
        <f t="shared" si="2"/>
        <v>10.885999999999999</v>
      </c>
      <c r="H21">
        <v>0</v>
      </c>
      <c r="I21" s="21">
        <f t="shared" si="3"/>
        <v>1.2809999999999999</v>
      </c>
      <c r="J21" t="s">
        <v>486</v>
      </c>
      <c r="K21">
        <v>10.6</v>
      </c>
      <c r="L21">
        <v>0</v>
      </c>
      <c r="M21">
        <v>0</v>
      </c>
      <c r="N21" s="21">
        <f t="shared" si="4"/>
        <v>0</v>
      </c>
      <c r="O21" s="21">
        <f t="shared" si="4"/>
        <v>3.7480000000000002</v>
      </c>
      <c r="P21" s="21">
        <f t="shared" si="4"/>
        <v>3.7749999999999999</v>
      </c>
      <c r="Q21">
        <v>40</v>
      </c>
      <c r="R21">
        <v>3.5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18</v>
      </c>
      <c r="AB21">
        <v>1</v>
      </c>
      <c r="AC21" t="s">
        <v>483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98.2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11182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>
        <v>27</v>
      </c>
      <c r="B22" t="s">
        <v>487</v>
      </c>
      <c r="C22" t="s">
        <v>481</v>
      </c>
      <c r="D22" s="21">
        <f t="shared" si="1"/>
        <v>98.305000000000007</v>
      </c>
      <c r="E22">
        <v>2</v>
      </c>
      <c r="F22">
        <v>49.1</v>
      </c>
      <c r="G22" s="21">
        <f t="shared" si="2"/>
        <v>10.861000000000001</v>
      </c>
      <c r="H22">
        <v>0</v>
      </c>
      <c r="I22" s="21">
        <f t="shared" si="3"/>
        <v>1.2889999999999999</v>
      </c>
      <c r="J22" t="s">
        <v>486</v>
      </c>
      <c r="K22">
        <v>10.6</v>
      </c>
      <c r="L22">
        <v>0</v>
      </c>
      <c r="M22">
        <v>0</v>
      </c>
      <c r="N22" s="21">
        <f t="shared" si="4"/>
        <v>0</v>
      </c>
      <c r="O22" s="21">
        <f t="shared" si="4"/>
        <v>3.8149999999999999</v>
      </c>
      <c r="P22" s="21">
        <f t="shared" si="4"/>
        <v>3.75</v>
      </c>
      <c r="Q22">
        <v>40</v>
      </c>
      <c r="R22">
        <v>3.5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19</v>
      </c>
      <c r="AB22">
        <v>1</v>
      </c>
      <c r="AC22" t="s">
        <v>483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98.2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11182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>
        <v>28</v>
      </c>
      <c r="B23" t="s">
        <v>487</v>
      </c>
      <c r="C23" t="s">
        <v>481</v>
      </c>
      <c r="D23" s="21">
        <f t="shared" si="1"/>
        <v>98.096999999999994</v>
      </c>
      <c r="E23">
        <v>2</v>
      </c>
      <c r="F23">
        <v>49.1</v>
      </c>
      <c r="G23" s="21">
        <f t="shared" si="2"/>
        <v>10.779</v>
      </c>
      <c r="H23">
        <v>0</v>
      </c>
      <c r="I23" s="21">
        <f t="shared" si="3"/>
        <v>1.2769999999999999</v>
      </c>
      <c r="J23" t="s">
        <v>486</v>
      </c>
      <c r="K23">
        <v>10.6</v>
      </c>
      <c r="L23">
        <v>0</v>
      </c>
      <c r="M23">
        <v>0</v>
      </c>
      <c r="N23" s="21">
        <f t="shared" si="4"/>
        <v>0</v>
      </c>
      <c r="O23" s="21">
        <f t="shared" si="4"/>
        <v>3.75</v>
      </c>
      <c r="P23" s="21">
        <f t="shared" si="4"/>
        <v>3.7890000000000001</v>
      </c>
      <c r="Q23">
        <v>40</v>
      </c>
      <c r="R23">
        <v>3.5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20</v>
      </c>
      <c r="AB23">
        <v>1</v>
      </c>
      <c r="AC23" t="s">
        <v>483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98.2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11182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>
        <v>29</v>
      </c>
      <c r="B24" t="s">
        <v>487</v>
      </c>
      <c r="C24" t="s">
        <v>481</v>
      </c>
      <c r="D24" s="21">
        <f t="shared" si="1"/>
        <v>97.86</v>
      </c>
      <c r="E24">
        <v>2</v>
      </c>
      <c r="F24">
        <v>49.1</v>
      </c>
      <c r="G24" s="21">
        <f t="shared" si="2"/>
        <v>10.715999999999999</v>
      </c>
      <c r="H24">
        <v>0</v>
      </c>
      <c r="I24" s="21">
        <f t="shared" si="3"/>
        <v>1.278</v>
      </c>
      <c r="J24" t="s">
        <v>486</v>
      </c>
      <c r="K24">
        <v>10.65</v>
      </c>
      <c r="L24">
        <v>0</v>
      </c>
      <c r="M24">
        <v>0</v>
      </c>
      <c r="N24" s="21">
        <f t="shared" si="4"/>
        <v>0</v>
      </c>
      <c r="O24" s="21">
        <f t="shared" si="4"/>
        <v>3.7829999999999999</v>
      </c>
      <c r="P24" s="21">
        <f t="shared" si="4"/>
        <v>3.7890000000000001</v>
      </c>
      <c r="Q24">
        <v>40</v>
      </c>
      <c r="R24">
        <v>3.5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0</v>
      </c>
      <c r="AA24">
        <v>21</v>
      </c>
      <c r="AB24">
        <v>1</v>
      </c>
      <c r="AC24" t="s">
        <v>483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98.2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11182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>
        <v>30</v>
      </c>
      <c r="B25" t="s">
        <v>487</v>
      </c>
      <c r="C25" t="s">
        <v>481</v>
      </c>
      <c r="D25" s="21">
        <f t="shared" si="1"/>
        <v>98.463999999999999</v>
      </c>
      <c r="E25">
        <v>2</v>
      </c>
      <c r="F25">
        <v>49.1</v>
      </c>
      <c r="G25" s="21">
        <f t="shared" si="2"/>
        <v>10.736000000000001</v>
      </c>
      <c r="H25">
        <v>0</v>
      </c>
      <c r="I25" s="21">
        <f t="shared" si="3"/>
        <v>1.2649999999999999</v>
      </c>
      <c r="J25" t="s">
        <v>486</v>
      </c>
      <c r="K25">
        <v>10.65</v>
      </c>
      <c r="L25">
        <v>0</v>
      </c>
      <c r="M25">
        <v>0</v>
      </c>
      <c r="N25" s="21">
        <f t="shared" si="4"/>
        <v>0</v>
      </c>
      <c r="O25" s="21">
        <f t="shared" si="4"/>
        <v>3.7839999999999998</v>
      </c>
      <c r="P25" s="21">
        <f t="shared" si="4"/>
        <v>3.8</v>
      </c>
      <c r="Q25">
        <v>40</v>
      </c>
      <c r="R25">
        <v>3.5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22</v>
      </c>
      <c r="AB25">
        <v>1</v>
      </c>
      <c r="AC25" t="s">
        <v>483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98.2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11182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>
        <v>31</v>
      </c>
      <c r="B26" t="s">
        <v>488</v>
      </c>
      <c r="C26" t="s">
        <v>481</v>
      </c>
      <c r="D26" s="21">
        <f t="shared" si="1"/>
        <v>217.6</v>
      </c>
      <c r="E26">
        <v>3</v>
      </c>
      <c r="F26">
        <v>64.67</v>
      </c>
      <c r="G26" s="21">
        <f t="shared" si="2"/>
        <v>0</v>
      </c>
      <c r="H26">
        <v>0</v>
      </c>
      <c r="I26" s="21">
        <f t="shared" si="3"/>
        <v>0</v>
      </c>
      <c r="J26" t="s">
        <v>482</v>
      </c>
      <c r="K26">
        <v>9.1199999999999992</v>
      </c>
      <c r="L26">
        <v>0</v>
      </c>
      <c r="M26">
        <v>0</v>
      </c>
      <c r="N26" s="21">
        <f t="shared" si="4"/>
        <v>0</v>
      </c>
      <c r="O26" s="21">
        <f t="shared" si="4"/>
        <v>1</v>
      </c>
      <c r="P26" s="21">
        <f t="shared" si="4"/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 t="s">
        <v>483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194.001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43205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5">
      <c r="A27">
        <v>32</v>
      </c>
      <c r="B27" t="s">
        <v>489</v>
      </c>
      <c r="C27" t="s">
        <v>481</v>
      </c>
      <c r="D27" s="21">
        <f t="shared" si="1"/>
        <v>7.32</v>
      </c>
      <c r="E27">
        <v>6</v>
      </c>
      <c r="F27">
        <v>1.22</v>
      </c>
      <c r="G27" s="21">
        <f t="shared" si="2"/>
        <v>0</v>
      </c>
      <c r="H27">
        <v>0</v>
      </c>
      <c r="I27" s="21">
        <f t="shared" si="3"/>
        <v>0</v>
      </c>
      <c r="J27" t="s">
        <v>482</v>
      </c>
      <c r="K27">
        <v>9.1199999999999992</v>
      </c>
      <c r="L27">
        <v>2E-3</v>
      </c>
      <c r="M27">
        <v>1E-3</v>
      </c>
      <c r="N27" s="21">
        <f t="shared" si="4"/>
        <v>0</v>
      </c>
      <c r="O27" s="21">
        <f t="shared" si="4"/>
        <v>1</v>
      </c>
      <c r="P27" s="21">
        <f t="shared" si="4"/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 t="s">
        <v>483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13.5</v>
      </c>
      <c r="AU27">
        <v>-1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44560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5">
      <c r="A28">
        <v>33</v>
      </c>
      <c r="B28" t="s">
        <v>490</v>
      </c>
      <c r="C28" t="s">
        <v>481</v>
      </c>
      <c r="D28" s="21">
        <f t="shared" si="1"/>
        <v>3500</v>
      </c>
      <c r="E28">
        <v>20</v>
      </c>
      <c r="F28">
        <v>8.48</v>
      </c>
      <c r="G28" s="21">
        <f t="shared" si="2"/>
        <v>0</v>
      </c>
      <c r="H28">
        <v>0</v>
      </c>
      <c r="I28" s="21">
        <f t="shared" si="3"/>
        <v>0</v>
      </c>
      <c r="J28" t="s">
        <v>482</v>
      </c>
      <c r="K28">
        <v>9.16</v>
      </c>
      <c r="L28">
        <v>0</v>
      </c>
      <c r="M28">
        <v>2.1000000000000001E-2</v>
      </c>
      <c r="N28" s="21">
        <f t="shared" si="4"/>
        <v>0</v>
      </c>
      <c r="O28" s="21">
        <f t="shared" si="4"/>
        <v>1</v>
      </c>
      <c r="P28" s="21">
        <f t="shared" si="4"/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 t="s">
        <v>483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169.6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17943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5">
      <c r="A29">
        <v>34</v>
      </c>
      <c r="B29" t="s">
        <v>491</v>
      </c>
      <c r="C29" t="s">
        <v>481</v>
      </c>
      <c r="D29" s="21">
        <f t="shared" si="1"/>
        <v>0</v>
      </c>
      <c r="E29">
        <v>0</v>
      </c>
      <c r="F29">
        <v>500</v>
      </c>
      <c r="G29" s="21">
        <f t="shared" si="2"/>
        <v>7.2</v>
      </c>
      <c r="H29">
        <v>0</v>
      </c>
      <c r="I29" s="21">
        <f t="shared" si="3"/>
        <v>3.8090000000000002</v>
      </c>
      <c r="J29" t="s">
        <v>492</v>
      </c>
      <c r="K29">
        <v>7.52</v>
      </c>
      <c r="L29">
        <v>0</v>
      </c>
      <c r="M29">
        <v>0</v>
      </c>
      <c r="N29" s="21">
        <f t="shared" si="4"/>
        <v>0</v>
      </c>
      <c r="O29" s="21">
        <f t="shared" si="4"/>
        <v>0.64</v>
      </c>
      <c r="P29" s="21">
        <f t="shared" si="4"/>
        <v>0.64</v>
      </c>
      <c r="Q29">
        <v>95</v>
      </c>
      <c r="R29">
        <v>3.5</v>
      </c>
      <c r="S29">
        <v>6</v>
      </c>
      <c r="T29">
        <v>6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 t="s">
        <v>483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-1</v>
      </c>
      <c r="AX29">
        <v>0</v>
      </c>
      <c r="AY29">
        <v>0</v>
      </c>
      <c r="AZ29">
        <v>2215517.7850000001</v>
      </c>
      <c r="BA29">
        <v>229065</v>
      </c>
      <c r="BB29">
        <v>33620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25">
      <c r="A30">
        <v>35</v>
      </c>
      <c r="B30" t="s">
        <v>493</v>
      </c>
      <c r="C30" t="s">
        <v>481</v>
      </c>
      <c r="D30" s="21">
        <f t="shared" si="1"/>
        <v>0</v>
      </c>
      <c r="E30">
        <v>0</v>
      </c>
      <c r="F30">
        <v>500</v>
      </c>
      <c r="G30" s="21">
        <f t="shared" si="2"/>
        <v>2</v>
      </c>
      <c r="H30">
        <v>0</v>
      </c>
      <c r="I30" s="21">
        <f t="shared" si="3"/>
        <v>1.1519999999999999</v>
      </c>
      <c r="J30" t="s">
        <v>486</v>
      </c>
      <c r="K30">
        <v>6.28</v>
      </c>
      <c r="L30">
        <v>0</v>
      </c>
      <c r="M30">
        <v>0</v>
      </c>
      <c r="N30" s="21">
        <f t="shared" si="4"/>
        <v>0</v>
      </c>
      <c r="O30" s="21">
        <f t="shared" si="4"/>
        <v>0.64</v>
      </c>
      <c r="P30" s="21">
        <f t="shared" si="4"/>
        <v>0.64</v>
      </c>
      <c r="Q30">
        <v>95</v>
      </c>
      <c r="R30">
        <v>3.5</v>
      </c>
      <c r="S30">
        <v>6</v>
      </c>
      <c r="T30">
        <v>6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 t="s">
        <v>483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-1</v>
      </c>
      <c r="AX30">
        <v>0</v>
      </c>
      <c r="AY30">
        <v>0</v>
      </c>
      <c r="AZ30">
        <v>804772.85600000003</v>
      </c>
      <c r="BA30">
        <v>114863</v>
      </c>
      <c r="BB30">
        <v>10032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25">
      <c r="A31">
        <v>36</v>
      </c>
      <c r="B31" t="s">
        <v>494</v>
      </c>
      <c r="C31" t="s">
        <v>481</v>
      </c>
      <c r="D31" s="21">
        <f t="shared" si="1"/>
        <v>0</v>
      </c>
      <c r="E31">
        <v>0</v>
      </c>
      <c r="F31">
        <v>100</v>
      </c>
      <c r="G31" s="21">
        <f t="shared" si="2"/>
        <v>10.8</v>
      </c>
      <c r="H31">
        <v>0</v>
      </c>
      <c r="I31" s="21">
        <f t="shared" si="3"/>
        <v>0.78900000000000003</v>
      </c>
      <c r="J31" t="s">
        <v>486</v>
      </c>
      <c r="K31">
        <v>9.35</v>
      </c>
      <c r="L31">
        <v>0</v>
      </c>
      <c r="M31">
        <v>0</v>
      </c>
      <c r="N31" s="21">
        <f t="shared" si="4"/>
        <v>0</v>
      </c>
      <c r="O31" s="21">
        <f t="shared" si="4"/>
        <v>3.78</v>
      </c>
      <c r="P31" s="21">
        <f t="shared" si="4"/>
        <v>3.78</v>
      </c>
      <c r="Q31">
        <v>123</v>
      </c>
      <c r="R31">
        <v>3.5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 t="s">
        <v>483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-1</v>
      </c>
      <c r="AX31">
        <v>0</v>
      </c>
      <c r="AY31">
        <v>0</v>
      </c>
      <c r="AZ31">
        <v>699302.87199999997</v>
      </c>
      <c r="BA31">
        <v>90151</v>
      </c>
      <c r="BB31">
        <v>6848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25">
      <c r="A32">
        <v>37</v>
      </c>
      <c r="B32" t="s">
        <v>495</v>
      </c>
      <c r="C32" t="s">
        <v>481</v>
      </c>
      <c r="D32" s="21">
        <f t="shared" si="1"/>
        <v>0</v>
      </c>
      <c r="E32">
        <v>0</v>
      </c>
      <c r="F32">
        <v>1</v>
      </c>
      <c r="G32" s="21">
        <f t="shared" si="2"/>
        <v>0</v>
      </c>
      <c r="H32">
        <v>0</v>
      </c>
      <c r="I32" s="21">
        <f t="shared" si="3"/>
        <v>1.647</v>
      </c>
      <c r="J32" t="s">
        <v>482</v>
      </c>
      <c r="K32">
        <v>0</v>
      </c>
      <c r="L32">
        <v>0</v>
      </c>
      <c r="M32">
        <v>0</v>
      </c>
      <c r="N32" s="21">
        <f t="shared" si="4"/>
        <v>0</v>
      </c>
      <c r="O32" s="21">
        <f t="shared" si="4"/>
        <v>1</v>
      </c>
      <c r="P32" s="21">
        <f t="shared" si="4"/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0.92</v>
      </c>
      <c r="W32">
        <v>0.92</v>
      </c>
      <c r="X32">
        <v>1</v>
      </c>
      <c r="Y32">
        <v>1</v>
      </c>
      <c r="Z32">
        <v>10</v>
      </c>
      <c r="AA32">
        <v>0</v>
      </c>
      <c r="AB32">
        <v>1</v>
      </c>
      <c r="AC32" t="s">
        <v>483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-1</v>
      </c>
      <c r="AX32">
        <v>0</v>
      </c>
      <c r="AY32">
        <v>0</v>
      </c>
      <c r="AZ32">
        <v>578000</v>
      </c>
      <c r="BA32">
        <v>74501</v>
      </c>
      <c r="BB32">
        <v>14450</v>
      </c>
      <c r="BC32">
        <v>177000</v>
      </c>
      <c r="BD32">
        <v>22814</v>
      </c>
      <c r="BE32">
        <v>4425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5">
      <c r="A33">
        <v>38</v>
      </c>
      <c r="B33" t="s">
        <v>496</v>
      </c>
      <c r="C33" t="s">
        <v>481</v>
      </c>
      <c r="D33" s="21">
        <f t="shared" si="1"/>
        <v>0</v>
      </c>
      <c r="E33">
        <v>0</v>
      </c>
      <c r="F33">
        <v>500</v>
      </c>
      <c r="G33" s="21">
        <f t="shared" si="2"/>
        <v>7.7</v>
      </c>
      <c r="H33">
        <v>0</v>
      </c>
      <c r="I33" s="21">
        <f t="shared" si="3"/>
        <v>4.9800000000000004</v>
      </c>
      <c r="J33" t="s">
        <v>497</v>
      </c>
      <c r="K33">
        <v>7.88</v>
      </c>
      <c r="L33">
        <v>0</v>
      </c>
      <c r="M33">
        <v>0</v>
      </c>
      <c r="N33" s="21">
        <f t="shared" si="4"/>
        <v>0</v>
      </c>
      <c r="O33" s="21">
        <f t="shared" si="4"/>
        <v>0.64</v>
      </c>
      <c r="P33" s="21">
        <f t="shared" si="4"/>
        <v>0.64</v>
      </c>
      <c r="Q33">
        <v>95</v>
      </c>
      <c r="R33">
        <v>3.5</v>
      </c>
      <c r="S33">
        <v>6</v>
      </c>
      <c r="T33">
        <v>6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 t="s">
        <v>483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-1</v>
      </c>
      <c r="AX33">
        <v>0</v>
      </c>
      <c r="AY33">
        <v>0</v>
      </c>
      <c r="AZ33">
        <v>2331517.7850000001</v>
      </c>
      <c r="BA33">
        <v>241058</v>
      </c>
      <c r="BB33">
        <v>43290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5">
      <c r="A34">
        <v>39</v>
      </c>
      <c r="B34" t="s">
        <v>498</v>
      </c>
      <c r="C34" t="s">
        <v>481</v>
      </c>
      <c r="D34" s="21">
        <f t="shared" si="1"/>
        <v>0</v>
      </c>
      <c r="E34">
        <v>0</v>
      </c>
      <c r="F34">
        <v>1</v>
      </c>
      <c r="G34" s="21">
        <f t="shared" si="2"/>
        <v>0</v>
      </c>
      <c r="H34">
        <v>0</v>
      </c>
      <c r="I34" s="21">
        <f t="shared" si="3"/>
        <v>4.8289999999999997</v>
      </c>
      <c r="J34" t="s">
        <v>482</v>
      </c>
      <c r="K34">
        <v>0</v>
      </c>
      <c r="L34">
        <v>0</v>
      </c>
      <c r="M34">
        <v>0</v>
      </c>
      <c r="N34" s="21">
        <f t="shared" ref="N34:P37" si="5">ROUND(N72,3)</f>
        <v>0</v>
      </c>
      <c r="O34" s="21">
        <f t="shared" si="5"/>
        <v>1</v>
      </c>
      <c r="P34" s="21">
        <f t="shared" si="5"/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1</v>
      </c>
      <c r="AB34">
        <v>1</v>
      </c>
      <c r="AC34" t="s">
        <v>483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1401.08</v>
      </c>
      <c r="AX34">
        <v>0</v>
      </c>
      <c r="AY34">
        <v>0</v>
      </c>
      <c r="AZ34">
        <v>1539971.6839999999</v>
      </c>
      <c r="BA34">
        <v>288081.06900000002</v>
      </c>
      <c r="BB34">
        <v>42496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21.731999999999999</v>
      </c>
      <c r="BO34">
        <v>190698.76699999999</v>
      </c>
      <c r="BP34">
        <v>0</v>
      </c>
      <c r="BQ34">
        <v>0</v>
      </c>
      <c r="BR34">
        <v>13.194000000000001</v>
      </c>
      <c r="BS34">
        <v>40075.853999999999</v>
      </c>
      <c r="BT34">
        <v>17627.069</v>
      </c>
      <c r="BU34">
        <v>0</v>
      </c>
    </row>
    <row r="35" spans="1:73" x14ac:dyDescent="0.25">
      <c r="A35">
        <v>40</v>
      </c>
      <c r="B35" t="s">
        <v>498</v>
      </c>
      <c r="C35" t="s">
        <v>481</v>
      </c>
      <c r="D35" s="21">
        <f t="shared" si="1"/>
        <v>0</v>
      </c>
      <c r="E35">
        <v>0</v>
      </c>
      <c r="F35">
        <v>1</v>
      </c>
      <c r="G35" s="21">
        <f t="shared" si="2"/>
        <v>0</v>
      </c>
      <c r="H35">
        <v>0</v>
      </c>
      <c r="I35" s="21">
        <f t="shared" si="3"/>
        <v>4.8099999999999996</v>
      </c>
      <c r="J35" t="s">
        <v>482</v>
      </c>
      <c r="K35">
        <v>0</v>
      </c>
      <c r="L35">
        <v>0</v>
      </c>
      <c r="M35">
        <v>0</v>
      </c>
      <c r="N35" s="21">
        <f t="shared" si="5"/>
        <v>0</v>
      </c>
      <c r="O35" s="21">
        <f t="shared" si="5"/>
        <v>1</v>
      </c>
      <c r="P35" s="21">
        <f t="shared" si="5"/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2</v>
      </c>
      <c r="AB35">
        <v>1</v>
      </c>
      <c r="AC35" t="s">
        <v>483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391.31900000000002</v>
      </c>
      <c r="AX35">
        <v>0</v>
      </c>
      <c r="AY35">
        <v>0</v>
      </c>
      <c r="AZ35">
        <v>1539971.6839999999</v>
      </c>
      <c r="BA35">
        <v>288189.734</v>
      </c>
      <c r="BB35">
        <v>42496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12.474</v>
      </c>
      <c r="BO35">
        <v>109463.738</v>
      </c>
      <c r="BP35">
        <v>0</v>
      </c>
      <c r="BQ35">
        <v>0</v>
      </c>
      <c r="BR35">
        <v>40.405999999999999</v>
      </c>
      <c r="BS35">
        <v>122733.52899999999</v>
      </c>
      <c r="BT35">
        <v>17735.734</v>
      </c>
      <c r="BU35">
        <v>0</v>
      </c>
    </row>
    <row r="36" spans="1:73" x14ac:dyDescent="0.25">
      <c r="A36">
        <v>41</v>
      </c>
      <c r="B36" t="s">
        <v>499</v>
      </c>
      <c r="C36" t="s">
        <v>481</v>
      </c>
      <c r="D36" s="21">
        <f t="shared" si="1"/>
        <v>0</v>
      </c>
      <c r="E36">
        <v>0</v>
      </c>
      <c r="F36">
        <v>1</v>
      </c>
      <c r="G36" s="21">
        <f t="shared" si="2"/>
        <v>0</v>
      </c>
      <c r="H36">
        <v>0</v>
      </c>
      <c r="I36" s="21">
        <f t="shared" si="3"/>
        <v>1.871</v>
      </c>
      <c r="J36" t="s">
        <v>482</v>
      </c>
      <c r="K36">
        <v>0</v>
      </c>
      <c r="L36">
        <v>0</v>
      </c>
      <c r="M36">
        <v>0</v>
      </c>
      <c r="N36" s="21">
        <f t="shared" si="5"/>
        <v>0</v>
      </c>
      <c r="O36" s="21">
        <f t="shared" si="5"/>
        <v>1</v>
      </c>
      <c r="P36" s="21">
        <f t="shared" si="5"/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 t="s">
        <v>483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3828.5749999999998</v>
      </c>
      <c r="AX36">
        <v>0</v>
      </c>
      <c r="AY36">
        <v>0</v>
      </c>
      <c r="AZ36">
        <v>1072583.692</v>
      </c>
      <c r="BA36">
        <v>130391.36199999999</v>
      </c>
      <c r="BB36">
        <v>16536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8.5980000000000008</v>
      </c>
      <c r="BO36">
        <v>75444.816999999995</v>
      </c>
      <c r="BP36">
        <v>0</v>
      </c>
      <c r="BQ36">
        <v>0</v>
      </c>
      <c r="BR36">
        <v>2.891</v>
      </c>
      <c r="BS36">
        <v>8781.1090000000004</v>
      </c>
      <c r="BT36">
        <v>6433.3620000000001</v>
      </c>
      <c r="BU36">
        <v>0</v>
      </c>
    </row>
    <row r="37" spans="1:73" x14ac:dyDescent="0.25">
      <c r="A37">
        <v>42</v>
      </c>
      <c r="B37" t="s">
        <v>499</v>
      </c>
      <c r="C37" t="s">
        <v>481</v>
      </c>
      <c r="D37" s="21">
        <f t="shared" si="1"/>
        <v>0</v>
      </c>
      <c r="E37">
        <v>0</v>
      </c>
      <c r="F37">
        <v>1</v>
      </c>
      <c r="G37" s="21">
        <f t="shared" si="2"/>
        <v>0</v>
      </c>
      <c r="H37">
        <v>0</v>
      </c>
      <c r="I37" s="21">
        <f t="shared" si="3"/>
        <v>1.891</v>
      </c>
      <c r="J37" t="s">
        <v>482</v>
      </c>
      <c r="K37">
        <v>0</v>
      </c>
      <c r="L37">
        <v>0</v>
      </c>
      <c r="M37">
        <v>0</v>
      </c>
      <c r="N37" s="21">
        <f t="shared" si="5"/>
        <v>0</v>
      </c>
      <c r="O37" s="21">
        <f t="shared" si="5"/>
        <v>1</v>
      </c>
      <c r="P37" s="21">
        <f t="shared" si="5"/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2</v>
      </c>
      <c r="AB37">
        <v>1</v>
      </c>
      <c r="AC37" t="s">
        <v>483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6262.6480000000001</v>
      </c>
      <c r="AX37">
        <v>0</v>
      </c>
      <c r="AY37">
        <v>0</v>
      </c>
      <c r="AZ37">
        <v>1072583.692</v>
      </c>
      <c r="BA37">
        <v>135738.33100000001</v>
      </c>
      <c r="BB37">
        <v>16536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13.09</v>
      </c>
      <c r="BO37">
        <v>114863.841</v>
      </c>
      <c r="BP37">
        <v>0</v>
      </c>
      <c r="BQ37">
        <v>0</v>
      </c>
      <c r="BR37">
        <v>12.96</v>
      </c>
      <c r="BS37">
        <v>39364.821000000004</v>
      </c>
      <c r="BT37">
        <v>11780.331</v>
      </c>
      <c r="BU37">
        <v>0</v>
      </c>
    </row>
    <row r="40" spans="1:73" x14ac:dyDescent="0.25">
      <c r="D40">
        <v>21.366439400000001</v>
      </c>
      <c r="G40">
        <v>5.2594026610000002</v>
      </c>
      <c r="I40">
        <v>12.86228796</v>
      </c>
      <c r="J40" s="30"/>
      <c r="K40">
        <f>BB2/8760</f>
        <v>12.752054794520548</v>
      </c>
      <c r="O40">
        <v>1</v>
      </c>
      <c r="P40">
        <v>1</v>
      </c>
      <c r="Q40">
        <v>0</v>
      </c>
      <c r="T40" t="s">
        <v>500</v>
      </c>
    </row>
    <row r="41" spans="1:73" x14ac:dyDescent="0.25">
      <c r="D41">
        <v>42.068525479999998</v>
      </c>
      <c r="G41">
        <v>0</v>
      </c>
      <c r="I41">
        <v>4.424344606</v>
      </c>
      <c r="J41" s="30"/>
      <c r="K41">
        <f t="shared" ref="K41:K42" si="6">BB3/8760</f>
        <v>4.3904109589041092</v>
      </c>
      <c r="O41">
        <v>1</v>
      </c>
      <c r="P41">
        <v>1</v>
      </c>
      <c r="Q41">
        <v>0</v>
      </c>
      <c r="T41" t="s">
        <v>501</v>
      </c>
      <c r="U41" t="s">
        <v>410</v>
      </c>
    </row>
    <row r="42" spans="1:73" x14ac:dyDescent="0.25">
      <c r="D42">
        <v>607.3745801</v>
      </c>
      <c r="G42">
        <v>3.4244333390000001</v>
      </c>
      <c r="I42">
        <v>1.066756254</v>
      </c>
      <c r="J42" s="30"/>
      <c r="K42">
        <f t="shared" si="6"/>
        <v>1.0582191780821917</v>
      </c>
      <c r="O42">
        <v>0.401145739</v>
      </c>
      <c r="P42">
        <v>0.40343928800000001</v>
      </c>
      <c r="Q42">
        <v>80.399560230000006</v>
      </c>
      <c r="T42" t="s">
        <v>502</v>
      </c>
      <c r="U42" t="s">
        <v>413</v>
      </c>
    </row>
    <row r="43" spans="1:73" x14ac:dyDescent="0.25">
      <c r="D43">
        <v>30.01891608</v>
      </c>
      <c r="G43">
        <v>4.335389352</v>
      </c>
      <c r="I43">
        <v>1.7839074479999999</v>
      </c>
      <c r="J43" s="30"/>
      <c r="O43">
        <v>0.39897671499999998</v>
      </c>
      <c r="P43">
        <v>0.39965773100000002</v>
      </c>
      <c r="Q43">
        <v>79.561124629999995</v>
      </c>
      <c r="U43" t="s">
        <v>415</v>
      </c>
    </row>
    <row r="44" spans="1:73" x14ac:dyDescent="0.25">
      <c r="D44">
        <v>49.68622053</v>
      </c>
      <c r="G44">
        <v>4.3400323939999996</v>
      </c>
      <c r="I44">
        <v>1.796113469</v>
      </c>
      <c r="J44" s="30"/>
      <c r="O44">
        <v>0.39849752399999999</v>
      </c>
      <c r="P44">
        <v>0.40318654900000001</v>
      </c>
      <c r="Q44">
        <v>80.667871079999998</v>
      </c>
      <c r="U44" t="s">
        <v>417</v>
      </c>
    </row>
    <row r="45" spans="1:73" x14ac:dyDescent="0.25">
      <c r="D45">
        <v>571.64450339999996</v>
      </c>
      <c r="G45">
        <v>3.4044401660000001</v>
      </c>
      <c r="I45">
        <v>1.0583290190000001</v>
      </c>
      <c r="J45" s="30"/>
      <c r="O45">
        <v>0.40096706199999999</v>
      </c>
      <c r="P45">
        <v>0.399623491</v>
      </c>
      <c r="Q45">
        <v>80.322588999999994</v>
      </c>
      <c r="T45" t="s">
        <v>503</v>
      </c>
      <c r="U45" t="s">
        <v>423</v>
      </c>
    </row>
    <row r="46" spans="1:73" x14ac:dyDescent="0.25">
      <c r="D46">
        <v>339.11792919999999</v>
      </c>
      <c r="G46">
        <v>10.843935800000001</v>
      </c>
      <c r="I46">
        <v>0.81805127099999997</v>
      </c>
      <c r="J46" s="30"/>
      <c r="O46">
        <v>3.7654956130000001</v>
      </c>
      <c r="P46">
        <v>3.8044315659999999</v>
      </c>
      <c r="Q46">
        <v>79.726539930000001</v>
      </c>
    </row>
    <row r="47" spans="1:73" x14ac:dyDescent="0.25">
      <c r="D47">
        <v>336.17987590000001</v>
      </c>
      <c r="G47">
        <v>10.903890110000001</v>
      </c>
      <c r="I47">
        <v>0.81077525900000003</v>
      </c>
      <c r="J47" s="30"/>
      <c r="O47">
        <v>3.801156422</v>
      </c>
      <c r="P47">
        <v>3.7632524950000001</v>
      </c>
      <c r="Q47">
        <v>80.599195750000007</v>
      </c>
      <c r="T47" t="s">
        <v>504</v>
      </c>
      <c r="U47" t="s">
        <v>420</v>
      </c>
    </row>
    <row r="48" spans="1:73" x14ac:dyDescent="0.25">
      <c r="D48">
        <v>90.80643216</v>
      </c>
      <c r="G48">
        <v>10.75568779</v>
      </c>
      <c r="I48">
        <v>1.2828166539999999</v>
      </c>
      <c r="J48" s="30"/>
      <c r="O48">
        <v>3.793562616</v>
      </c>
      <c r="P48">
        <v>3.8164959230000002</v>
      </c>
      <c r="Q48">
        <v>40.043510079999997</v>
      </c>
      <c r="U48" t="s">
        <v>425</v>
      </c>
    </row>
    <row r="49" spans="4:21" x14ac:dyDescent="0.25">
      <c r="D49">
        <v>49.690625060000002</v>
      </c>
      <c r="G49">
        <v>10.758176450000001</v>
      </c>
      <c r="I49">
        <v>1.286383998</v>
      </c>
      <c r="J49" s="30"/>
      <c r="O49">
        <v>3.7753883300000002</v>
      </c>
      <c r="P49">
        <v>3.8125014460000002</v>
      </c>
      <c r="Q49">
        <v>40.11416758</v>
      </c>
      <c r="U49" t="s">
        <v>426</v>
      </c>
    </row>
    <row r="50" spans="4:21" x14ac:dyDescent="0.25">
      <c r="D50">
        <v>48.40755205</v>
      </c>
      <c r="G50">
        <v>10.7916992</v>
      </c>
      <c r="I50">
        <v>1.2861288870000001</v>
      </c>
      <c r="J50" s="30"/>
      <c r="O50">
        <v>3.7610270200000002</v>
      </c>
      <c r="P50">
        <v>3.7909760179999998</v>
      </c>
      <c r="Q50">
        <v>40.324882299999999</v>
      </c>
      <c r="U50" t="s">
        <v>421</v>
      </c>
    </row>
    <row r="51" spans="4:21" x14ac:dyDescent="0.25">
      <c r="D51">
        <v>34.493917430000003</v>
      </c>
      <c r="G51">
        <v>10.858163940000001</v>
      </c>
      <c r="I51">
        <v>1.2680585010000001</v>
      </c>
      <c r="J51" s="30"/>
      <c r="O51">
        <v>3.8069115349999998</v>
      </c>
      <c r="P51">
        <v>3.8112261580000002</v>
      </c>
      <c r="Q51">
        <v>40.337265199999997</v>
      </c>
      <c r="U51" t="s">
        <v>422</v>
      </c>
    </row>
    <row r="52" spans="4:21" x14ac:dyDescent="0.25">
      <c r="D52">
        <v>96.114593510000006</v>
      </c>
      <c r="G52">
        <v>10.77199721</v>
      </c>
      <c r="I52">
        <v>1.265210465</v>
      </c>
      <c r="J52" s="30"/>
      <c r="O52">
        <v>3.7683107339999999</v>
      </c>
      <c r="P52">
        <v>3.7613867179999998</v>
      </c>
      <c r="Q52">
        <v>39.850457630000001</v>
      </c>
    </row>
    <row r="53" spans="4:21" x14ac:dyDescent="0.25">
      <c r="D53">
        <v>48.572307479999999</v>
      </c>
      <c r="G53">
        <v>10.696320679999999</v>
      </c>
      <c r="I53">
        <v>1.2675860699999999</v>
      </c>
      <c r="J53" s="30"/>
      <c r="O53">
        <v>3.8097709289999999</v>
      </c>
      <c r="P53">
        <v>3.7992682910000002</v>
      </c>
      <c r="Q53">
        <v>39.932805590000001</v>
      </c>
      <c r="T53" t="s">
        <v>512</v>
      </c>
      <c r="U53" t="s">
        <v>409</v>
      </c>
    </row>
    <row r="54" spans="4:21" x14ac:dyDescent="0.25">
      <c r="D54">
        <v>51.147941950000003</v>
      </c>
      <c r="G54">
        <v>10.744240120000001</v>
      </c>
      <c r="I54">
        <v>1.2780768950000001</v>
      </c>
      <c r="J54" s="30"/>
      <c r="O54">
        <v>3.799150665</v>
      </c>
      <c r="P54">
        <v>3.756977435</v>
      </c>
      <c r="Q54">
        <v>39.675035020000003</v>
      </c>
      <c r="T54" t="s">
        <v>512</v>
      </c>
      <c r="U54" t="s">
        <v>511</v>
      </c>
    </row>
    <row r="55" spans="4:21" x14ac:dyDescent="0.25">
      <c r="D55">
        <v>51.641965329999998</v>
      </c>
      <c r="G55">
        <v>10.766599680000001</v>
      </c>
      <c r="I55">
        <v>1.273414992</v>
      </c>
      <c r="J55" s="30"/>
      <c r="O55">
        <v>3.7524152129999999</v>
      </c>
      <c r="P55">
        <v>3.7807634700000001</v>
      </c>
      <c r="Q55">
        <v>39.716864790000002</v>
      </c>
      <c r="T55" t="s">
        <v>512</v>
      </c>
      <c r="U55" t="s">
        <v>433</v>
      </c>
    </row>
    <row r="56" spans="4:21" x14ac:dyDescent="0.25">
      <c r="D56">
        <v>97.492320829999997</v>
      </c>
      <c r="G56">
        <v>10.73652549</v>
      </c>
      <c r="I56">
        <v>1.264788338</v>
      </c>
      <c r="J56" s="30"/>
      <c r="O56">
        <v>3.7763886150000001</v>
      </c>
      <c r="P56">
        <v>3.7851440279999999</v>
      </c>
      <c r="Q56">
        <v>40.186728690000002</v>
      </c>
      <c r="U56" t="s">
        <v>505</v>
      </c>
    </row>
    <row r="57" spans="4:21" x14ac:dyDescent="0.25">
      <c r="D57">
        <v>98.097001730000002</v>
      </c>
      <c r="G57">
        <v>10.812996760000001</v>
      </c>
      <c r="I57">
        <v>1.2827164040000001</v>
      </c>
      <c r="J57" s="30"/>
      <c r="O57">
        <v>3.7625928740000001</v>
      </c>
      <c r="P57">
        <v>3.7785965190000002</v>
      </c>
      <c r="Q57">
        <v>40.350630180000003</v>
      </c>
    </row>
    <row r="58" spans="4:21" x14ac:dyDescent="0.25">
      <c r="D58">
        <v>97.969996429999995</v>
      </c>
      <c r="G58">
        <v>10.80718223</v>
      </c>
      <c r="I58">
        <v>1.269604838</v>
      </c>
      <c r="J58" s="30"/>
      <c r="O58">
        <v>3.787896602</v>
      </c>
      <c r="P58">
        <v>3.774507812</v>
      </c>
      <c r="Q58">
        <v>40.315603459999998</v>
      </c>
      <c r="T58" t="s">
        <v>793</v>
      </c>
      <c r="U58" t="s">
        <v>792</v>
      </c>
    </row>
    <row r="59" spans="4:21" x14ac:dyDescent="0.25">
      <c r="D59">
        <v>97.97152414</v>
      </c>
      <c r="G59">
        <v>10.88552647</v>
      </c>
      <c r="I59">
        <v>1.281258067</v>
      </c>
      <c r="J59" s="30"/>
      <c r="O59">
        <v>3.7483426990000002</v>
      </c>
      <c r="P59">
        <v>3.774959215</v>
      </c>
      <c r="Q59">
        <v>39.797014019999999</v>
      </c>
    </row>
    <row r="60" spans="4:21" x14ac:dyDescent="0.25">
      <c r="D60">
        <v>98.304955000000007</v>
      </c>
      <c r="G60">
        <v>10.860955000000001</v>
      </c>
      <c r="I60">
        <v>1.288676146</v>
      </c>
      <c r="J60" s="30"/>
      <c r="O60">
        <v>3.8153915430000001</v>
      </c>
      <c r="P60">
        <v>3.7502482509999999</v>
      </c>
      <c r="Q60">
        <v>39.940784540000003</v>
      </c>
    </row>
    <row r="61" spans="4:21" x14ac:dyDescent="0.25">
      <c r="D61">
        <v>98.097490820000004</v>
      </c>
      <c r="G61">
        <v>10.779326660000001</v>
      </c>
      <c r="I61">
        <v>1.2768449550000001</v>
      </c>
      <c r="J61" s="30"/>
      <c r="O61">
        <v>3.7504207479999998</v>
      </c>
      <c r="P61">
        <v>3.7888467330000002</v>
      </c>
      <c r="Q61">
        <v>39.824189130000001</v>
      </c>
    </row>
    <row r="62" spans="4:21" x14ac:dyDescent="0.25">
      <c r="D62">
        <v>97.860059140000004</v>
      </c>
      <c r="G62">
        <v>10.71564128</v>
      </c>
      <c r="I62">
        <v>1.2781016730000001</v>
      </c>
      <c r="J62" s="30"/>
      <c r="O62">
        <v>3.7833839249999999</v>
      </c>
      <c r="P62">
        <v>3.7887070309999999</v>
      </c>
      <c r="Q62">
        <v>40.058969339999997</v>
      </c>
    </row>
    <row r="63" spans="4:21" x14ac:dyDescent="0.25">
      <c r="D63">
        <v>98.464295859999993</v>
      </c>
      <c r="G63">
        <v>10.735894999999999</v>
      </c>
      <c r="I63">
        <v>1.2654198029999999</v>
      </c>
      <c r="J63" s="30"/>
      <c r="O63">
        <v>3.783989837</v>
      </c>
      <c r="P63">
        <v>3.800003383</v>
      </c>
      <c r="Q63">
        <v>39.722052759999997</v>
      </c>
    </row>
    <row r="64" spans="4:21" x14ac:dyDescent="0.25">
      <c r="D64">
        <v>217.6</v>
      </c>
      <c r="G64">
        <v>0</v>
      </c>
      <c r="I64">
        <v>0</v>
      </c>
      <c r="J64" s="30"/>
      <c r="O64">
        <v>1</v>
      </c>
      <c r="P64">
        <v>1</v>
      </c>
      <c r="Q64">
        <v>0</v>
      </c>
    </row>
    <row r="65" spans="4:17" x14ac:dyDescent="0.25">
      <c r="D65">
        <v>7.32</v>
      </c>
      <c r="G65">
        <v>0</v>
      </c>
      <c r="I65">
        <v>0</v>
      </c>
      <c r="O65">
        <v>1</v>
      </c>
      <c r="P65">
        <v>1</v>
      </c>
      <c r="Q65">
        <v>0</v>
      </c>
    </row>
    <row r="66" spans="4:17" x14ac:dyDescent="0.25">
      <c r="D66">
        <v>3500</v>
      </c>
      <c r="G66">
        <v>0</v>
      </c>
      <c r="I66">
        <v>0</v>
      </c>
      <c r="O66">
        <v>1</v>
      </c>
      <c r="P66">
        <v>1</v>
      </c>
      <c r="Q66">
        <v>0</v>
      </c>
    </row>
    <row r="67" spans="4:17" x14ac:dyDescent="0.25">
      <c r="D67">
        <v>0</v>
      </c>
      <c r="G67">
        <v>7.2</v>
      </c>
      <c r="I67">
        <v>3.8086694479999998</v>
      </c>
      <c r="O67">
        <v>0.64</v>
      </c>
      <c r="P67">
        <v>0.64</v>
      </c>
      <c r="Q67">
        <v>95</v>
      </c>
    </row>
    <row r="68" spans="4:17" x14ac:dyDescent="0.25">
      <c r="D68">
        <v>0</v>
      </c>
      <c r="G68">
        <v>2</v>
      </c>
      <c r="I68">
        <v>1.1515854729999999</v>
      </c>
      <c r="O68">
        <v>0.64</v>
      </c>
      <c r="P68">
        <v>0.64</v>
      </c>
      <c r="Q68">
        <v>95</v>
      </c>
    </row>
    <row r="69" spans="4:17" x14ac:dyDescent="0.25">
      <c r="D69">
        <v>0</v>
      </c>
      <c r="G69">
        <v>10.8</v>
      </c>
      <c r="I69">
        <v>0.78909482600000003</v>
      </c>
      <c r="O69">
        <v>3.78</v>
      </c>
      <c r="P69">
        <v>3.78</v>
      </c>
      <c r="Q69">
        <v>123</v>
      </c>
    </row>
    <row r="70" spans="4:17" x14ac:dyDescent="0.25">
      <c r="D70">
        <v>0</v>
      </c>
      <c r="G70">
        <v>0</v>
      </c>
      <c r="I70">
        <v>1.646577854</v>
      </c>
      <c r="O70">
        <v>1</v>
      </c>
      <c r="P70">
        <v>1</v>
      </c>
      <c r="Q70">
        <v>0</v>
      </c>
    </row>
    <row r="71" spans="4:17" x14ac:dyDescent="0.25">
      <c r="D71">
        <v>0</v>
      </c>
      <c r="G71">
        <v>7.7</v>
      </c>
      <c r="I71">
        <v>4.9800542200000004</v>
      </c>
      <c r="O71">
        <v>0.64</v>
      </c>
      <c r="P71">
        <v>0.64</v>
      </c>
      <c r="Q71">
        <v>95</v>
      </c>
    </row>
    <row r="72" spans="4:17" x14ac:dyDescent="0.25">
      <c r="D72">
        <v>0</v>
      </c>
      <c r="G72">
        <v>0</v>
      </c>
      <c r="I72">
        <v>4.8293983779999996</v>
      </c>
      <c r="O72">
        <v>1</v>
      </c>
      <c r="P72">
        <v>1</v>
      </c>
      <c r="Q72">
        <v>0</v>
      </c>
    </row>
    <row r="73" spans="4:17" x14ac:dyDescent="0.25">
      <c r="D73">
        <v>0</v>
      </c>
      <c r="G73">
        <v>0</v>
      </c>
      <c r="I73">
        <v>4.8100915899999999</v>
      </c>
      <c r="O73">
        <v>1</v>
      </c>
      <c r="P73">
        <v>1</v>
      </c>
      <c r="Q73">
        <v>0</v>
      </c>
    </row>
    <row r="74" spans="4:17" x14ac:dyDescent="0.25">
      <c r="D74">
        <v>0</v>
      </c>
      <c r="G74">
        <v>0</v>
      </c>
      <c r="I74">
        <v>1.8707454370000001</v>
      </c>
      <c r="O74">
        <v>1</v>
      </c>
      <c r="P74">
        <v>1</v>
      </c>
      <c r="Q74">
        <v>0</v>
      </c>
    </row>
    <row r="75" spans="4:17" x14ac:dyDescent="0.25">
      <c r="D75">
        <v>0</v>
      </c>
      <c r="G75">
        <v>0</v>
      </c>
      <c r="I75">
        <v>1.8906856590000001</v>
      </c>
      <c r="O75">
        <v>1</v>
      </c>
      <c r="P75">
        <v>1</v>
      </c>
      <c r="Q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7483-BD1D-4ED2-8449-063352603980}">
  <dimension ref="A1:S26"/>
  <sheetViews>
    <sheetView workbookViewId="0"/>
  </sheetViews>
  <sheetFormatPr defaultRowHeight="15" x14ac:dyDescent="0.25"/>
  <sheetData>
    <row r="1" spans="1:19" x14ac:dyDescent="0.25">
      <c r="A1" t="s">
        <v>407</v>
      </c>
      <c r="B1" t="s">
        <v>408</v>
      </c>
      <c r="C1" t="s">
        <v>409</v>
      </c>
      <c r="D1" t="s">
        <v>433</v>
      </c>
      <c r="E1" t="s">
        <v>410</v>
      </c>
      <c r="F1" t="s">
        <v>778</v>
      </c>
      <c r="G1" t="s">
        <v>779</v>
      </c>
      <c r="H1" t="s">
        <v>420</v>
      </c>
      <c r="I1" t="s">
        <v>780</v>
      </c>
      <c r="J1" t="s">
        <v>781</v>
      </c>
      <c r="K1" t="s">
        <v>782</v>
      </c>
      <c r="L1" t="s">
        <v>413</v>
      </c>
      <c r="M1" t="s">
        <v>458</v>
      </c>
      <c r="N1" t="s">
        <v>459</v>
      </c>
      <c r="O1" t="s">
        <v>460</v>
      </c>
      <c r="P1" t="s">
        <v>461</v>
      </c>
      <c r="Q1" t="s">
        <v>462</v>
      </c>
      <c r="R1" t="s">
        <v>463</v>
      </c>
      <c r="S1" t="s">
        <v>783</v>
      </c>
    </row>
    <row r="2" spans="1:19" x14ac:dyDescent="0.25">
      <c r="A2">
        <v>101</v>
      </c>
      <c r="B2" t="s">
        <v>495</v>
      </c>
      <c r="C2" t="s">
        <v>481</v>
      </c>
      <c r="D2">
        <v>1</v>
      </c>
      <c r="E2">
        <v>108.72</v>
      </c>
      <c r="F2">
        <v>739.92499999999995</v>
      </c>
      <c r="G2">
        <v>0</v>
      </c>
      <c r="H2">
        <v>0</v>
      </c>
      <c r="I2">
        <v>0.5</v>
      </c>
      <c r="J2">
        <v>0.90990000000000004</v>
      </c>
      <c r="K2">
        <v>0.90990000000000004</v>
      </c>
      <c r="L2" s="28">
        <v>9.9999999999999995E-8</v>
      </c>
      <c r="M2">
        <v>578000</v>
      </c>
      <c r="N2">
        <v>74501</v>
      </c>
      <c r="O2">
        <v>14450</v>
      </c>
      <c r="P2">
        <v>177000</v>
      </c>
      <c r="Q2">
        <v>22814</v>
      </c>
      <c r="R2">
        <v>4425</v>
      </c>
      <c r="S2">
        <v>0.45</v>
      </c>
    </row>
    <row r="3" spans="1:19" x14ac:dyDescent="0.25">
      <c r="A3">
        <v>102</v>
      </c>
      <c r="B3" t="s">
        <v>495</v>
      </c>
      <c r="C3" t="s">
        <v>481</v>
      </c>
      <c r="D3">
        <v>2</v>
      </c>
      <c r="E3">
        <v>111</v>
      </c>
      <c r="F3">
        <v>1097.69</v>
      </c>
      <c r="G3">
        <v>0</v>
      </c>
      <c r="H3">
        <v>0</v>
      </c>
      <c r="I3">
        <v>0.5</v>
      </c>
      <c r="J3">
        <v>0.88249999999999995</v>
      </c>
      <c r="K3">
        <v>0.88249999999999995</v>
      </c>
      <c r="L3" s="28">
        <v>9.9999999999999995E-8</v>
      </c>
      <c r="M3">
        <v>578000</v>
      </c>
      <c r="N3">
        <v>74501</v>
      </c>
      <c r="O3">
        <v>14450</v>
      </c>
      <c r="P3">
        <v>177000</v>
      </c>
      <c r="Q3">
        <v>22814</v>
      </c>
      <c r="R3">
        <v>4425</v>
      </c>
      <c r="S3">
        <v>0.48</v>
      </c>
    </row>
    <row r="4" spans="1:19" x14ac:dyDescent="0.25">
      <c r="A4">
        <v>103</v>
      </c>
      <c r="B4" t="s">
        <v>495</v>
      </c>
      <c r="C4" t="s">
        <v>481</v>
      </c>
      <c r="D4">
        <v>3</v>
      </c>
      <c r="E4">
        <v>111.6</v>
      </c>
      <c r="F4">
        <v>690.11500000000001</v>
      </c>
      <c r="G4">
        <v>0</v>
      </c>
      <c r="H4">
        <v>0</v>
      </c>
      <c r="I4">
        <v>0.5</v>
      </c>
      <c r="J4">
        <v>0.93259999999999998</v>
      </c>
      <c r="K4">
        <v>0.93259999999999998</v>
      </c>
      <c r="L4" s="28">
        <v>9.9999999999999995E-8</v>
      </c>
      <c r="M4">
        <v>578000</v>
      </c>
      <c r="N4">
        <v>74501</v>
      </c>
      <c r="O4">
        <v>14450</v>
      </c>
      <c r="P4">
        <v>177000</v>
      </c>
      <c r="Q4">
        <v>22814</v>
      </c>
      <c r="R4">
        <v>4425</v>
      </c>
      <c r="S4">
        <v>0.44</v>
      </c>
    </row>
    <row r="5" spans="1:19" x14ac:dyDescent="0.25">
      <c r="A5">
        <v>104</v>
      </c>
      <c r="B5" t="s">
        <v>495</v>
      </c>
      <c r="C5" t="s">
        <v>481</v>
      </c>
      <c r="D5">
        <v>4</v>
      </c>
      <c r="E5">
        <v>113.4</v>
      </c>
      <c r="F5">
        <v>1359.0650000000001</v>
      </c>
      <c r="G5">
        <v>0</v>
      </c>
      <c r="H5">
        <v>0</v>
      </c>
      <c r="I5">
        <v>0.5</v>
      </c>
      <c r="J5">
        <v>0.93920000000000003</v>
      </c>
      <c r="K5">
        <v>0.93920000000000003</v>
      </c>
      <c r="L5" s="28">
        <v>9.9999999999999995E-8</v>
      </c>
      <c r="M5">
        <v>578000</v>
      </c>
      <c r="N5">
        <v>74501</v>
      </c>
      <c r="O5">
        <v>14450</v>
      </c>
      <c r="P5">
        <v>177000</v>
      </c>
      <c r="Q5">
        <v>22814</v>
      </c>
      <c r="R5">
        <v>4425</v>
      </c>
      <c r="S5">
        <v>0.47</v>
      </c>
    </row>
    <row r="6" spans="1:19" x14ac:dyDescent="0.25">
      <c r="A6">
        <v>105</v>
      </c>
      <c r="B6" t="s">
        <v>495</v>
      </c>
      <c r="C6" t="s">
        <v>481</v>
      </c>
      <c r="D6">
        <v>5</v>
      </c>
      <c r="E6">
        <v>115.14</v>
      </c>
      <c r="F6">
        <v>978.09500000000003</v>
      </c>
      <c r="G6">
        <v>0</v>
      </c>
      <c r="H6">
        <v>0</v>
      </c>
      <c r="I6">
        <v>0.5</v>
      </c>
      <c r="J6">
        <v>0.92769999999999997</v>
      </c>
      <c r="K6">
        <v>0.92769999999999997</v>
      </c>
      <c r="L6" s="28">
        <v>9.9999999999999995E-8</v>
      </c>
      <c r="M6">
        <v>578000</v>
      </c>
      <c r="N6">
        <v>74501</v>
      </c>
      <c r="O6">
        <v>14450</v>
      </c>
      <c r="P6">
        <v>177000</v>
      </c>
      <c r="Q6">
        <v>22814</v>
      </c>
      <c r="R6">
        <v>4425</v>
      </c>
      <c r="S6">
        <v>0.5</v>
      </c>
    </row>
    <row r="7" spans="1:19" x14ac:dyDescent="0.25">
      <c r="A7">
        <v>106</v>
      </c>
      <c r="B7" t="s">
        <v>495</v>
      </c>
      <c r="C7" t="s">
        <v>481</v>
      </c>
      <c r="D7">
        <v>6</v>
      </c>
      <c r="E7">
        <v>106.32</v>
      </c>
      <c r="F7">
        <v>1195.95</v>
      </c>
      <c r="G7">
        <v>0</v>
      </c>
      <c r="H7">
        <v>0</v>
      </c>
      <c r="I7">
        <v>0.5</v>
      </c>
      <c r="J7">
        <v>0.87929999999999997</v>
      </c>
      <c r="K7">
        <v>0.87929999999999997</v>
      </c>
      <c r="L7" s="28">
        <v>9.9999999999999995E-8</v>
      </c>
      <c r="M7">
        <v>578000</v>
      </c>
      <c r="N7">
        <v>74501</v>
      </c>
      <c r="O7">
        <v>14450</v>
      </c>
      <c r="P7">
        <v>177000</v>
      </c>
      <c r="Q7">
        <v>22814</v>
      </c>
      <c r="R7">
        <v>4425</v>
      </c>
      <c r="S7">
        <v>0.56999999999999995</v>
      </c>
    </row>
    <row r="8" spans="1:19" x14ac:dyDescent="0.25">
      <c r="A8">
        <v>107</v>
      </c>
      <c r="B8" t="s">
        <v>495</v>
      </c>
      <c r="C8" t="s">
        <v>481</v>
      </c>
      <c r="D8">
        <v>7</v>
      </c>
      <c r="E8">
        <v>113.82</v>
      </c>
      <c r="F8">
        <v>1076.95</v>
      </c>
      <c r="G8">
        <v>0</v>
      </c>
      <c r="H8">
        <v>0</v>
      </c>
      <c r="I8">
        <v>0.5</v>
      </c>
      <c r="J8">
        <v>0.9466</v>
      </c>
      <c r="K8">
        <v>0.9466</v>
      </c>
      <c r="L8" s="28">
        <v>9.9999999999999995E-8</v>
      </c>
      <c r="M8">
        <v>578000</v>
      </c>
      <c r="N8">
        <v>74501</v>
      </c>
      <c r="O8">
        <v>14450</v>
      </c>
      <c r="P8">
        <v>177000</v>
      </c>
      <c r="Q8">
        <v>22814</v>
      </c>
      <c r="R8">
        <v>4425</v>
      </c>
      <c r="S8">
        <v>0.43</v>
      </c>
    </row>
    <row r="9" spans="1:19" x14ac:dyDescent="0.25">
      <c r="A9">
        <v>108</v>
      </c>
      <c r="B9" t="s">
        <v>495</v>
      </c>
      <c r="C9" t="s">
        <v>481</v>
      </c>
      <c r="D9">
        <v>8</v>
      </c>
      <c r="E9">
        <v>114.06</v>
      </c>
      <c r="F9">
        <v>744.77</v>
      </c>
      <c r="G9">
        <v>0</v>
      </c>
      <c r="H9">
        <v>0</v>
      </c>
      <c r="I9">
        <v>0.5</v>
      </c>
      <c r="J9">
        <v>0.90980000000000005</v>
      </c>
      <c r="K9">
        <v>0.90980000000000005</v>
      </c>
      <c r="L9" s="28">
        <v>9.9999999999999995E-8</v>
      </c>
      <c r="M9">
        <v>578000</v>
      </c>
      <c r="N9">
        <v>74501</v>
      </c>
      <c r="O9">
        <v>14450</v>
      </c>
      <c r="P9">
        <v>177000</v>
      </c>
      <c r="Q9">
        <v>22814</v>
      </c>
      <c r="R9">
        <v>4425</v>
      </c>
      <c r="S9">
        <v>0.42</v>
      </c>
    </row>
    <row r="10" spans="1:19" x14ac:dyDescent="0.25">
      <c r="A10">
        <v>109</v>
      </c>
      <c r="B10" t="s">
        <v>495</v>
      </c>
      <c r="C10" t="s">
        <v>481</v>
      </c>
      <c r="D10">
        <v>9</v>
      </c>
      <c r="E10">
        <v>112.5</v>
      </c>
      <c r="F10">
        <v>1192.125</v>
      </c>
      <c r="G10">
        <v>0</v>
      </c>
      <c r="H10">
        <v>0</v>
      </c>
      <c r="I10">
        <v>0.5</v>
      </c>
      <c r="J10">
        <v>0.92530000000000001</v>
      </c>
      <c r="K10">
        <v>0.92530000000000001</v>
      </c>
      <c r="L10" s="28">
        <v>9.9999999999999995E-8</v>
      </c>
      <c r="M10">
        <v>578000</v>
      </c>
      <c r="N10">
        <v>74501</v>
      </c>
      <c r="O10">
        <v>14450</v>
      </c>
      <c r="P10">
        <v>177000</v>
      </c>
      <c r="Q10">
        <v>22814</v>
      </c>
      <c r="R10">
        <v>4425</v>
      </c>
      <c r="S10">
        <v>0.47</v>
      </c>
    </row>
    <row r="11" spans="1:19" x14ac:dyDescent="0.25">
      <c r="A11">
        <v>110</v>
      </c>
      <c r="B11" t="s">
        <v>495</v>
      </c>
      <c r="C11" t="s">
        <v>481</v>
      </c>
      <c r="D11">
        <v>10</v>
      </c>
      <c r="E11">
        <v>105.72</v>
      </c>
      <c r="F11">
        <v>1072.2750000000001</v>
      </c>
      <c r="G11">
        <v>0</v>
      </c>
      <c r="H11">
        <v>0</v>
      </c>
      <c r="I11">
        <v>0.5</v>
      </c>
      <c r="J11">
        <v>0.90280000000000005</v>
      </c>
      <c r="K11">
        <v>0.90280000000000005</v>
      </c>
      <c r="L11" s="28">
        <v>9.9999999999999995E-8</v>
      </c>
      <c r="M11">
        <v>578000</v>
      </c>
      <c r="N11">
        <v>74501</v>
      </c>
      <c r="O11">
        <v>14450</v>
      </c>
      <c r="P11">
        <v>177000</v>
      </c>
      <c r="Q11">
        <v>22814</v>
      </c>
      <c r="R11">
        <v>4425</v>
      </c>
      <c r="S11">
        <v>0.52</v>
      </c>
    </row>
    <row r="20" spans="4:12" x14ac:dyDescent="0.25">
      <c r="L20" s="28">
        <f>L11*1200</f>
        <v>1.1999999999999999E-4</v>
      </c>
    </row>
    <row r="26" spans="4:12" x14ac:dyDescent="0.25">
      <c r="D26" t="s">
        <v>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B781-0191-401A-A39E-29B60B83D5B2}">
  <dimension ref="A1:M29"/>
  <sheetViews>
    <sheetView workbookViewId="0">
      <selection activeCell="H23" sqref="H23"/>
    </sheetView>
  </sheetViews>
  <sheetFormatPr defaultRowHeight="15" x14ac:dyDescent="0.25"/>
  <cols>
    <col min="1" max="1" width="4.42578125" bestFit="1" customWidth="1"/>
    <col min="2" max="2" width="10.28515625" bestFit="1" customWidth="1"/>
    <col min="3" max="3" width="13.85546875" bestFit="1" customWidth="1"/>
    <col min="4" max="4" width="6" bestFit="1" customWidth="1"/>
    <col min="5" max="5" width="9.42578125" bestFit="1" customWidth="1"/>
    <col min="6" max="6" width="12.28515625" bestFit="1" customWidth="1"/>
    <col min="8" max="8" width="40.5703125" bestFit="1" customWidth="1"/>
    <col min="9" max="9" width="23.28515625" bestFit="1" customWidth="1"/>
  </cols>
  <sheetData>
    <row r="1" spans="1:13" x14ac:dyDescent="0.25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H1" t="s">
        <v>794</v>
      </c>
      <c r="I1" t="s">
        <v>795</v>
      </c>
      <c r="M1" t="s">
        <v>390</v>
      </c>
    </row>
    <row r="2" spans="1:13" x14ac:dyDescent="0.25">
      <c r="A2">
        <v>1</v>
      </c>
      <c r="C2">
        <v>1</v>
      </c>
      <c r="E2">
        <v>1</v>
      </c>
      <c r="F2">
        <v>1</v>
      </c>
      <c r="H2" t="s">
        <v>506</v>
      </c>
      <c r="I2" t="s">
        <v>796</v>
      </c>
    </row>
    <row r="3" spans="1:13" x14ac:dyDescent="0.25">
      <c r="A3">
        <v>2</v>
      </c>
      <c r="C3">
        <v>1</v>
      </c>
      <c r="E3">
        <v>1</v>
      </c>
      <c r="F3">
        <v>1</v>
      </c>
    </row>
    <row r="4" spans="1:13" x14ac:dyDescent="0.25">
      <c r="A4">
        <v>3</v>
      </c>
      <c r="B4">
        <v>1</v>
      </c>
      <c r="E4">
        <v>1</v>
      </c>
    </row>
    <row r="5" spans="1:13" x14ac:dyDescent="0.25">
      <c r="A5">
        <v>4</v>
      </c>
      <c r="B5">
        <v>1</v>
      </c>
      <c r="E5">
        <v>1</v>
      </c>
    </row>
    <row r="6" spans="1:13" x14ac:dyDescent="0.25">
      <c r="A6">
        <v>5</v>
      </c>
      <c r="B6">
        <v>1</v>
      </c>
      <c r="E6">
        <v>1</v>
      </c>
    </row>
    <row r="7" spans="1:13" x14ac:dyDescent="0.25">
      <c r="A7">
        <v>6</v>
      </c>
      <c r="B7">
        <v>1</v>
      </c>
      <c r="E7">
        <v>1</v>
      </c>
    </row>
    <row r="8" spans="1:13" x14ac:dyDescent="0.25">
      <c r="A8">
        <v>7</v>
      </c>
      <c r="B8">
        <v>1</v>
      </c>
      <c r="E8">
        <v>1</v>
      </c>
    </row>
    <row r="9" spans="1:13" x14ac:dyDescent="0.25">
      <c r="A9">
        <v>8</v>
      </c>
      <c r="B9">
        <v>1</v>
      </c>
      <c r="E9">
        <v>1</v>
      </c>
    </row>
    <row r="10" spans="1:13" x14ac:dyDescent="0.25">
      <c r="A10">
        <v>9</v>
      </c>
      <c r="B10">
        <v>1</v>
      </c>
      <c r="E10">
        <v>1</v>
      </c>
    </row>
    <row r="11" spans="1:13" x14ac:dyDescent="0.25">
      <c r="A11">
        <v>10</v>
      </c>
      <c r="B11">
        <v>1</v>
      </c>
      <c r="E11">
        <v>1</v>
      </c>
    </row>
    <row r="12" spans="1:13" x14ac:dyDescent="0.25">
      <c r="A12">
        <v>11</v>
      </c>
      <c r="B12">
        <v>1</v>
      </c>
      <c r="E12">
        <v>1</v>
      </c>
    </row>
    <row r="13" spans="1:13" x14ac:dyDescent="0.25">
      <c r="A13">
        <v>12</v>
      </c>
      <c r="B13">
        <v>1</v>
      </c>
      <c r="E13">
        <v>1</v>
      </c>
    </row>
    <row r="14" spans="1:13" x14ac:dyDescent="0.25">
      <c r="A14">
        <v>13</v>
      </c>
      <c r="B14">
        <v>1</v>
      </c>
      <c r="E14">
        <v>1</v>
      </c>
    </row>
    <row r="15" spans="1:13" x14ac:dyDescent="0.25">
      <c r="A15">
        <v>20</v>
      </c>
      <c r="B15">
        <v>1</v>
      </c>
      <c r="E15">
        <v>1</v>
      </c>
    </row>
    <row r="16" spans="1:13" x14ac:dyDescent="0.25">
      <c r="A16">
        <v>21</v>
      </c>
      <c r="B16">
        <v>1</v>
      </c>
      <c r="E16">
        <v>1</v>
      </c>
    </row>
    <row r="17" spans="1:5" x14ac:dyDescent="0.25">
      <c r="A17">
        <v>22</v>
      </c>
      <c r="B17">
        <v>1</v>
      </c>
      <c r="E17">
        <v>1</v>
      </c>
    </row>
    <row r="18" spans="1:5" x14ac:dyDescent="0.25">
      <c r="A18">
        <v>23</v>
      </c>
      <c r="B18">
        <v>1</v>
      </c>
      <c r="E18">
        <v>1</v>
      </c>
    </row>
    <row r="19" spans="1:5" x14ac:dyDescent="0.25">
      <c r="A19">
        <v>24</v>
      </c>
      <c r="B19">
        <v>1</v>
      </c>
      <c r="E19">
        <v>1</v>
      </c>
    </row>
    <row r="20" spans="1:5" x14ac:dyDescent="0.25">
      <c r="A20">
        <v>25</v>
      </c>
      <c r="B20">
        <v>1</v>
      </c>
      <c r="E20">
        <v>1</v>
      </c>
    </row>
    <row r="21" spans="1:5" x14ac:dyDescent="0.25">
      <c r="A21">
        <v>26</v>
      </c>
      <c r="B21">
        <v>1</v>
      </c>
      <c r="E21">
        <v>1</v>
      </c>
    </row>
    <row r="22" spans="1:5" x14ac:dyDescent="0.25">
      <c r="A22">
        <v>27</v>
      </c>
      <c r="B22">
        <v>1</v>
      </c>
      <c r="E22">
        <v>1</v>
      </c>
    </row>
    <row r="23" spans="1:5" x14ac:dyDescent="0.25">
      <c r="A23">
        <v>28</v>
      </c>
      <c r="B23">
        <v>1</v>
      </c>
      <c r="E23">
        <v>1</v>
      </c>
    </row>
    <row r="24" spans="1:5" x14ac:dyDescent="0.25">
      <c r="A24">
        <v>29</v>
      </c>
      <c r="B24">
        <v>1</v>
      </c>
      <c r="E24">
        <v>1</v>
      </c>
    </row>
    <row r="25" spans="1:5" x14ac:dyDescent="0.25">
      <c r="A25">
        <v>30</v>
      </c>
      <c r="B25">
        <v>1</v>
      </c>
      <c r="E25">
        <v>1</v>
      </c>
    </row>
    <row r="26" spans="1:5" x14ac:dyDescent="0.25">
      <c r="A26">
        <v>31</v>
      </c>
      <c r="C26">
        <v>1</v>
      </c>
      <c r="D26">
        <v>1</v>
      </c>
    </row>
    <row r="27" spans="1:5" x14ac:dyDescent="0.25">
      <c r="A27">
        <v>32</v>
      </c>
      <c r="C27">
        <v>1</v>
      </c>
      <c r="D27">
        <v>1</v>
      </c>
    </row>
    <row r="28" spans="1:5" x14ac:dyDescent="0.25">
      <c r="A28">
        <v>33</v>
      </c>
      <c r="C28">
        <v>1</v>
      </c>
      <c r="D28">
        <v>1</v>
      </c>
    </row>
    <row r="29" spans="1:5" x14ac:dyDescent="0.25">
      <c r="A29">
        <v>34</v>
      </c>
      <c r="C29">
        <v>1</v>
      </c>
      <c r="D2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180C-02CB-4297-AD0F-682B42144906}">
  <dimension ref="A2:C22"/>
  <sheetViews>
    <sheetView topLeftCell="A4" workbookViewId="0">
      <selection activeCell="A22" sqref="A22"/>
    </sheetView>
  </sheetViews>
  <sheetFormatPr defaultRowHeight="15" x14ac:dyDescent="0.25"/>
  <cols>
    <col min="1" max="1" width="16.140625" bestFit="1" customWidth="1"/>
    <col min="2" max="2" width="34" bestFit="1" customWidth="1"/>
  </cols>
  <sheetData>
    <row r="2" spans="2:3" x14ac:dyDescent="0.25">
      <c r="B2" t="s">
        <v>535</v>
      </c>
    </row>
    <row r="3" spans="2:3" x14ac:dyDescent="0.25">
      <c r="B3" t="s">
        <v>536</v>
      </c>
    </row>
    <row r="4" spans="2:3" x14ac:dyDescent="0.25">
      <c r="B4" t="s">
        <v>537</v>
      </c>
    </row>
    <row r="5" spans="2:3" x14ac:dyDescent="0.25">
      <c r="B5" t="s">
        <v>538</v>
      </c>
      <c r="C5" t="s">
        <v>539</v>
      </c>
    </row>
    <row r="6" spans="2:3" x14ac:dyDescent="0.25">
      <c r="B6" t="s">
        <v>545</v>
      </c>
    </row>
    <row r="7" spans="2:3" x14ac:dyDescent="0.25">
      <c r="B7" t="s">
        <v>546</v>
      </c>
    </row>
    <row r="8" spans="2:3" x14ac:dyDescent="0.25">
      <c r="B8" t="s">
        <v>535</v>
      </c>
    </row>
    <row r="18" spans="1:2" x14ac:dyDescent="0.25">
      <c r="A18" s="23" t="s">
        <v>540</v>
      </c>
      <c r="B18" t="s">
        <v>541</v>
      </c>
    </row>
    <row r="19" spans="1:2" x14ac:dyDescent="0.25">
      <c r="B19" t="s">
        <v>542</v>
      </c>
    </row>
    <row r="20" spans="1:2" x14ac:dyDescent="0.25">
      <c r="B20" t="s">
        <v>543</v>
      </c>
    </row>
    <row r="21" spans="1:2" x14ac:dyDescent="0.25">
      <c r="B21" t="s">
        <v>544</v>
      </c>
    </row>
    <row r="22" spans="1:2" x14ac:dyDescent="0.25">
      <c r="A22" s="23" t="s">
        <v>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9A94-BFD5-4A72-A4A7-C45E2341C628}">
  <dimension ref="A1"/>
  <sheetViews>
    <sheetView workbookViewId="0">
      <selection activeCell="G20" sqref="A1:G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changelog input</vt:lpstr>
      <vt:lpstr>changelog</vt:lpstr>
      <vt:lpstr>ESA</vt:lpstr>
      <vt:lpstr>Generators_data</vt:lpstr>
      <vt:lpstr>Storage_data</vt:lpstr>
      <vt:lpstr>sets</vt:lpstr>
      <vt:lpstr>Post processing metrics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Gallegos Garay, Pablo I</dc:creator>
  <cp:lastModifiedBy>Gallegos Garay, Pablo I</cp:lastModifiedBy>
  <dcterms:created xsi:type="dcterms:W3CDTF">2015-06-05T18:17:20Z</dcterms:created>
  <dcterms:modified xsi:type="dcterms:W3CDTF">2026-02-06T17:33:57Z</dcterms:modified>
</cp:coreProperties>
</file>