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gallego_ic_ac_uk/Documents/PhD/Repositories/energy_reserve/notebooks/"/>
    </mc:Choice>
  </mc:AlternateContent>
  <xr:revisionPtr revIDLastSave="762" documentId="8_{500CB7F4-871F-4278-A248-46B9BAA33BBF}" xr6:coauthVersionLast="47" xr6:coauthVersionMax="47" xr10:uidLastSave="{EACD93D5-E713-43B1-9893-CB20830CF4D5}"/>
  <bookViews>
    <workbookView xWindow="-120" yWindow="-120" windowWidth="29040" windowHeight="15720" activeTab="1" xr2:uid="{EC15CBE5-360E-4EFD-B54E-57015E96D44C}"/>
  </bookViews>
  <sheets>
    <sheet name="Detail1" sheetId="3" r:id="rId1"/>
    <sheet name="Sheet1" sheetId="2" r:id="rId2"/>
    <sheet name="Sheet1 (2)" sheetId="5" r:id="rId3"/>
    <sheet name="Sheet2" sheetId="4" r:id="rId4"/>
    <sheet name="Sheet3" sheetId="6" r:id="rId5"/>
    <sheet name="gcd_KPI_adequacy" sheetId="1" r:id="rId6"/>
  </sheets>
  <calcPr calcId="191029"/>
  <pivotCaches>
    <pivotCache cacheId="2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5" l="1"/>
  <c r="F44" i="5"/>
  <c r="J9" i="4"/>
  <c r="J10" i="4"/>
  <c r="J19" i="4"/>
  <c r="J18" i="4"/>
  <c r="J17" i="4"/>
  <c r="J16" i="4"/>
  <c r="J11" i="4"/>
  <c r="J12" i="4"/>
  <c r="G47" i="2"/>
  <c r="H47" i="2" s="1"/>
  <c r="G56" i="2"/>
  <c r="G36" i="2"/>
  <c r="G86" i="5"/>
  <c r="G87" i="5"/>
  <c r="G44" i="2"/>
  <c r="H87" i="2"/>
  <c r="H87" i="5"/>
  <c r="G87" i="2"/>
  <c r="G86" i="2"/>
  <c r="F61" i="5"/>
  <c r="F93" i="5"/>
  <c r="F82" i="5"/>
  <c r="F67" i="5"/>
  <c r="G33" i="2"/>
  <c r="F121" i="5"/>
  <c r="I36" i="2" l="1"/>
  <c r="I35" i="2"/>
</calcChain>
</file>

<file path=xl/sharedStrings.xml><?xml version="1.0" encoding="utf-8"?>
<sst xmlns="http://schemas.openxmlformats.org/spreadsheetml/2006/main" count="479" uniqueCount="145">
  <si>
    <t>model_type</t>
  </si>
  <si>
    <t>solution_id</t>
  </si>
  <si>
    <t>configuration</t>
  </si>
  <si>
    <t>day</t>
  </si>
  <si>
    <t>OV_uc</t>
  </si>
  <si>
    <t>E_fixed_cost</t>
  </si>
  <si>
    <t>E_storage_discharge_MWh</t>
  </si>
  <si>
    <t>E_reserve_cost</t>
  </si>
  <si>
    <t>reserve_cost_uc</t>
  </si>
  <si>
    <t>E_storage_charge_MWh</t>
  </si>
  <si>
    <t>SOE_0_MWh</t>
  </si>
  <si>
    <t>E_avg_marginal_energy_price_MU_MWh</t>
  </si>
  <si>
    <t>E_input_RES_production_MWh</t>
  </si>
  <si>
    <t>EENS_cost</t>
  </si>
  <si>
    <t>E_net_SOE_MWh</t>
  </si>
  <si>
    <t>EOV</t>
  </si>
  <si>
    <t>E_thermal_production_MWh</t>
  </si>
  <si>
    <t>E_SOE_T_MWh</t>
  </si>
  <si>
    <t>avg_marginal_reserve_up_price_uc_MU_MWh</t>
  </si>
  <si>
    <t>E_storage_net_charge_MWh</t>
  </si>
  <si>
    <t>E_production_cost</t>
  </si>
  <si>
    <t>avg_marginal_energy_price_uc_MU_MWh</t>
  </si>
  <si>
    <t>avg_marginal_reserve_down_price_uc_MU_MWh</t>
  </si>
  <si>
    <t>ECUR</t>
  </si>
  <si>
    <t>E_redispatch_cost</t>
  </si>
  <si>
    <t>LOLE</t>
  </si>
  <si>
    <t>ELGEN_cost</t>
  </si>
  <si>
    <t>E_start_cost</t>
  </si>
  <si>
    <t>input_load_uc_MWh</t>
  </si>
  <si>
    <t>E_nonRES_nonThermal_production_MWh</t>
  </si>
  <si>
    <t>CURE</t>
  </si>
  <si>
    <t>ELGEN</t>
  </si>
  <si>
    <t>EENS</t>
  </si>
  <si>
    <t>EOPEX</t>
  </si>
  <si>
    <t>E_input_load_MWh</t>
  </si>
  <si>
    <t>OPEX_uc</t>
  </si>
  <si>
    <t>mu</t>
  </si>
  <si>
    <t>E_slack_reserve_up_cost</t>
  </si>
  <si>
    <t>slack_reserve_down_cost_uc</t>
  </si>
  <si>
    <t>slack_reserve_up_cost_uc</t>
  </si>
  <si>
    <t>avg_marginal_energy_reserve_down_price_uc_MU_MWh</t>
  </si>
  <si>
    <t>avg_marginal_energy_reserve_up_price_uc_MU_MWh</t>
  </si>
  <si>
    <t>non-conservative</t>
  </si>
  <si>
    <t>envelope</t>
  </si>
  <si>
    <t>conservative</t>
  </si>
  <si>
    <t>base_ramp_storage_envelopes_up_1_dn_1</t>
  </si>
  <si>
    <t>base_ramp_storage_envelopes_up_0_48_dn_0_48</t>
  </si>
  <si>
    <t>e-reserve</t>
  </si>
  <si>
    <t>Row Labels</t>
  </si>
  <si>
    <t>Column Labels</t>
  </si>
  <si>
    <t>Sum of EOV</t>
  </si>
  <si>
    <t>Sum of reserve_cost_uc</t>
  </si>
  <si>
    <t>slack_reserve_down_uc_MWh</t>
  </si>
  <si>
    <t>slack_reserve_up_uc_MWh</t>
  </si>
  <si>
    <t>reserve_up_uc_MWh</t>
  </si>
  <si>
    <t>reserve_down_uc_MWh</t>
  </si>
  <si>
    <t>required_reserve_down_uc_MWh</t>
  </si>
  <si>
    <t>required_reserve_up_uc_MWh</t>
  </si>
  <si>
    <t>slack_energy_reserve_up_uc_MWh</t>
  </si>
  <si>
    <t>slack_energy_reserve_down_cost_uc</t>
  </si>
  <si>
    <t>required_energy_reserve_down_uc_MWh</t>
  </si>
  <si>
    <t>required_energy_reserve_up_uc_MWh</t>
  </si>
  <si>
    <t>slack_energy_reserve_down_uc_MWh</t>
  </si>
  <si>
    <t>slack_energy_reserve_up_cost_uc</t>
  </si>
  <si>
    <t>energy_reserve_down_uc_MWh</t>
  </si>
  <si>
    <t>energy_reserve_cost_uc</t>
  </si>
  <si>
    <t>energy_reserve_up_uc_MWh</t>
  </si>
  <si>
    <t>RTS-GMLC_v3.1.1s</t>
  </si>
  <si>
    <t>RTS-GMLC_v3.2s</t>
  </si>
  <si>
    <t>Sum of OV_uc</t>
  </si>
  <si>
    <t>Sum of EENS_cost</t>
  </si>
  <si>
    <t>Sum of slack_reserve_down_cost_uc</t>
  </si>
  <si>
    <t>Sum of slack_reserve_down_uc_MWh</t>
  </si>
  <si>
    <t>Sum of ELGEN_cost</t>
  </si>
  <si>
    <t>Sum of slack_reserve_up_cost_uc</t>
  </si>
  <si>
    <t>Sum of reserve_down_uc_MWh</t>
  </si>
  <si>
    <t>Sum of slack_reserve_up_uc_MWh</t>
  </si>
  <si>
    <t>Details for Sum of EENS_cost - solution_id: RTS-GMLC_v3.2s, model_type: envelope, day: 2</t>
  </si>
  <si>
    <t>Sum of reserve_up_uc_MWh</t>
  </si>
  <si>
    <t>Sum of E_redispatch_cost</t>
  </si>
  <si>
    <t>Sum of EOPEX</t>
  </si>
  <si>
    <t>Sum of OPEX_uc</t>
  </si>
  <si>
    <t>Sum of E_fixed_cost</t>
  </si>
  <si>
    <t>Sum of E_production_cost</t>
  </si>
  <si>
    <t>Sum of E_start_cost</t>
  </si>
  <si>
    <t>Sum of slack_energy_reserve_down_cost_uc</t>
  </si>
  <si>
    <t>Sum of slack_energy_reserve_up_cost_uc</t>
  </si>
  <si>
    <t>Sum of energy_reserve_cost_uc</t>
  </si>
  <si>
    <t>RTS-GMLC_v3.1.1bis</t>
  </si>
  <si>
    <t>RTS-GMLC_v3.3s</t>
  </si>
  <si>
    <t>RTS-GMLC_v3.4s</t>
  </si>
  <si>
    <t>Sum of required_reserve_up_uc_MWh</t>
  </si>
  <si>
    <t>Sum of required_reserve_down_uc_MWh</t>
  </si>
  <si>
    <t>Grand Total</t>
  </si>
  <si>
    <t>Total Sum of required_reserve_down_uc_MWh</t>
  </si>
  <si>
    <t>Total Sum of required_reserve_up_uc_MWh</t>
  </si>
  <si>
    <t>Total Sum of reserve_up_uc_MWh</t>
  </si>
  <si>
    <t>Total Sum of reserve_down_uc_MWh</t>
  </si>
  <si>
    <t>conservative Sum of required_reserve_down_uc_MWh</t>
  </si>
  <si>
    <t>conservative Sum of required_reserve_up_uc_MWh</t>
  </si>
  <si>
    <t>conservative Sum of reserve_up_uc_MWh</t>
  </si>
  <si>
    <t>conservative Sum of reserve_down_uc_MWh</t>
  </si>
  <si>
    <t>e-reserve Sum of required_reserve_down_uc_MWh</t>
  </si>
  <si>
    <t>e-reserve Sum of required_reserve_up_uc_MWh</t>
  </si>
  <si>
    <t>e-reserve Sum of reserve_up_uc_MWh</t>
  </si>
  <si>
    <t>e-reserve Sum of reserve_down_uc_MWh</t>
  </si>
  <si>
    <t>RTS-GMLC_v3.4.1s</t>
  </si>
  <si>
    <t>conservative Sum of slack_reserve_down_uc_MWh</t>
  </si>
  <si>
    <t>e-reserve Sum of slack_reserve_down_uc_MWh</t>
  </si>
  <si>
    <t>Total Sum of slack_reserve_down_uc_MWh</t>
  </si>
  <si>
    <t>conservative Sum of slack_reserve_up_uc_MWh</t>
  </si>
  <si>
    <t>e-reserve Sum of slack_reserve_up_uc_MWh</t>
  </si>
  <si>
    <t>Total Sum of slack_reserve_up_uc_MWh</t>
  </si>
  <si>
    <t>repartition</t>
  </si>
  <si>
    <t>RTS-GMLC_v3.4.2s</t>
  </si>
  <si>
    <t>Storage reserve repartition removed (again)</t>
  </si>
  <si>
    <t>Repartition back</t>
  </si>
  <si>
    <t>Equality constraint + corrected 1st bug on repartition</t>
  </si>
  <si>
    <t>RTS-GMLC_v3.5s</t>
  </si>
  <si>
    <t>RTS-GMLC_v3.6s</t>
  </si>
  <si>
    <t>Inequality constraint. Repartition removed</t>
  </si>
  <si>
    <t>Bug identified on 3.1.1s explaining  OV_uc cost difference. Rest KPIs are aligned with 3.1.1.s</t>
  </si>
  <si>
    <t>Irrelevant</t>
  </si>
  <si>
    <t>Equality constraint</t>
  </si>
  <si>
    <t>Corrected flag on repartition activation (i.e. it was not activated before)</t>
  </si>
  <si>
    <t>Corrected 2nd bug on repartition calculation.</t>
  </si>
  <si>
    <t xml:space="preserve"> Logic: 3.4.2s (Equality constraint + reserve repartition) must give the same value as 3.2s (inequality  constraints and no repartition). Delta in OV_uc is lower than mip_ga (1e-4). Slack up are identical. Slack down almost (but can be justified because of mip_gap.</t>
  </si>
  <si>
    <t>Comments</t>
  </si>
  <si>
    <t>VRESERVE = 0</t>
  </si>
  <si>
    <t>Sum of CURE</t>
  </si>
  <si>
    <t>Sum of EENS</t>
  </si>
  <si>
    <t>(blank)</t>
  </si>
  <si>
    <t>(blank) Sum of slack_reserve_up_uc_MWh</t>
  </si>
  <si>
    <t>(blank) Sum of slack_reserve_down_uc_MWh</t>
  </si>
  <si>
    <t>(blank) Sum of required_reserve_down_uc_MWh</t>
  </si>
  <si>
    <t>(blank) Sum of required_reserve_up_uc_MWh</t>
  </si>
  <si>
    <t>(blank) Sum of reserve_up_uc_MWh</t>
  </si>
  <si>
    <t>(blank) Sum of reserve_down_uc_MWh</t>
  </si>
  <si>
    <t>(Multiple Items)</t>
  </si>
  <si>
    <t>Sum of ELGEN</t>
  </si>
  <si>
    <t>RTS-GMLC_v6.2.2s</t>
  </si>
  <si>
    <t>RTS-GMLC_v5.2.2.3z</t>
  </si>
  <si>
    <t>RTS-GMLC_v5.2.2.4z</t>
  </si>
  <si>
    <t>RTS-GMLC_v5.2.2.3.1z</t>
  </si>
  <si>
    <t>RTS-GMLC_v5.2.2.4.1z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</si>
</sst>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E+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6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42" applyNumberFormat="1" applyFont="1"/>
    <xf numFmtId="43" fontId="0" fillId="0" borderId="0" xfId="0" applyNumberFormat="1"/>
    <xf numFmtId="11" fontId="0" fillId="0" borderId="0" xfId="43" applyNumberFormat="1" applyFont="1" applyAlignment="1"/>
    <xf numFmtId="0" fontId="16" fillId="33" borderId="10" xfId="0" applyFont="1" applyFill="1" applyBorder="1"/>
    <xf numFmtId="0" fontId="16" fillId="0" borderId="10" xfId="0" applyFont="1" applyBorder="1" applyAlignment="1">
      <alignment horizontal="left"/>
    </xf>
    <xf numFmtId="1" fontId="16" fillId="0" borderId="10" xfId="0" applyNumberFormat="1" applyFont="1" applyBorder="1"/>
    <xf numFmtId="0" fontId="18" fillId="0" borderId="0" xfId="0" applyFont="1"/>
    <xf numFmtId="166" fontId="0" fillId="0" borderId="0" xfId="0" applyNumberFormat="1"/>
    <xf numFmtId="0" fontId="0" fillId="0" borderId="0" xfId="43" applyNumberFormat="1" applyFont="1"/>
    <xf numFmtId="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7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6" formatCode="0.0E+00"/>
    </dxf>
    <dxf>
      <numFmt numFmtId="166" formatCode="0.0E+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66" formatCode="0.0E+00"/>
    </dxf>
    <dxf>
      <numFmt numFmtId="166" formatCode="0.0E+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llegos Garay, Pablo I" refreshedDate="45842.697055787037" createdVersion="8" refreshedVersion="8" minRefreshableVersion="3" recordCount="51" xr:uid="{A5CA26A2-88AB-41CA-9CC7-1661AB7E8490}">
  <cacheSource type="worksheet">
    <worksheetSource ref="A1:BD1048576" sheet="gcd_KPI_adequacy"/>
  </cacheSource>
  <cacheFields count="56">
    <cacheField name="model_type" numFmtId="0">
      <sharedItems containsBlank="1" count="6">
        <s v="conservative"/>
        <s v="e-reserve"/>
        <m/>
        <s v="envelope" u="1"/>
        <s v="envelope_bis" u="1"/>
        <s v="e-reserve_bis" u="1"/>
      </sharedItems>
    </cacheField>
    <cacheField name="solution_id" numFmtId="0">
      <sharedItems containsBlank="1" count="16">
        <s v="RTS-GMLC_v5.2.2.3z"/>
        <s v="RTS-GMLC_v5.2.2.3.1z"/>
        <s v="RTS-GMLC_v5.2.2.4z"/>
        <s v="RTS-GMLC_v5.2.2.4.1z"/>
        <s v="RTS-GMLC_v6.2.2s"/>
        <m/>
        <s v="RTS-GMLC_v5.2.2s" u="1"/>
        <s v="RTS-GMLC_v5.2.2z" u="1"/>
        <s v="RTS-GMLC_v5.2.2.1z" u="1"/>
        <s v="RTS-GMLC_v5.2.2.1s" u="1"/>
        <s v="RTS-GMLC_v5.2.1s" u="1"/>
        <s v="RTS-GMLC_v5.0.1s" u="1"/>
        <s v="RTS-GMLC_v6.2.1s" u="1"/>
        <s v="RTS-GMLC_v6.0.1s" u="1"/>
        <s v="RTS-GMLC_v5.0bis" u="1"/>
        <s v="RTS-GMLC_v6.0bis" u="1"/>
      </sharedItems>
    </cacheField>
    <cacheField name="configuration" numFmtId="0">
      <sharedItems containsBlank="1"/>
    </cacheField>
    <cacheField name="day" numFmtId="0">
      <sharedItems containsString="0" containsBlank="1" containsNumber="1" containsInteger="1" minValue="1" maxValue="4" count="5">
        <n v="3"/>
        <n v="1"/>
        <n v="2"/>
        <n v="4"/>
        <m/>
      </sharedItems>
    </cacheField>
    <cacheField name="OV_uc" numFmtId="0">
      <sharedItems containsString="0" containsBlank="1" containsNumber="1" minValue="570293.67799001199" maxValue="917322.93404850201"/>
    </cacheField>
    <cacheField name="E_fixed_cost" numFmtId="0">
      <sharedItems containsString="0" containsBlank="1" containsNumber="1" containsInteger="1" minValue="0" maxValue="0"/>
    </cacheField>
    <cacheField name="E_storage_discharge_MWh" numFmtId="0">
      <sharedItems containsString="0" containsBlank="1" containsNumber="1" minValue="12531.5987531802" maxValue="14546.0858357746"/>
    </cacheField>
    <cacheField name="reserve_cost_uc" numFmtId="0">
      <sharedItems containsString="0" containsBlank="1" containsNumber="1" minValue="4.2446220494811698E-2" maxValue="4.2446228128279799E-2"/>
    </cacheField>
    <cacheField name="E_storage_charge_MWh" numFmtId="0">
      <sharedItems containsString="0" containsBlank="1" containsNumber="1" minValue="1608.09456491115" maxValue="5543.7915677948004"/>
    </cacheField>
    <cacheField name="SOE_0_MWh" numFmtId="0">
      <sharedItems containsString="0" containsBlank="1" containsNumber="1" minValue="12683.699999999901" maxValue="12683.699999999901"/>
    </cacheField>
    <cacheField name="E_avg_marginal_energy_price_MU_MWh" numFmtId="0">
      <sharedItems containsNonDate="0" containsString="0" containsBlank="1"/>
    </cacheField>
    <cacheField name="E_input_RES_production_MWh" numFmtId="0">
      <sharedItems containsString="0" containsBlank="1" containsNumber="1" minValue="0" maxValue="32.833163571010203"/>
    </cacheField>
    <cacheField name="EENS_cost" numFmtId="0">
      <sharedItems containsString="0" containsBlank="1" containsNumber="1" minValue="2.5016503057695701E-8" maxValue="1.21444827015584E-7"/>
    </cacheField>
    <cacheField name="E_net_SOE_MWh" numFmtId="0">
      <sharedItems containsString="0" containsBlank="1" containsNumber="1" minValue="-12422.821187932101" maxValue="-10369.299359577501"/>
    </cacheField>
    <cacheField name="EOV" numFmtId="0">
      <sharedItems containsString="0" containsBlank="1" containsNumber="1" minValue="428805.31247381499" maxValue="664037.49390323996"/>
    </cacheField>
    <cacheField name="E_thermal_production_MWh" numFmtId="0">
      <sharedItems containsNonDate="0" containsString="0" containsBlank="1"/>
    </cacheField>
    <cacheField name="E_SOE_T_MWh" numFmtId="0">
      <sharedItems containsString="0" containsBlank="1" containsNumber="1" minValue="260.87881206784601" maxValue="2314.4006404224701"/>
    </cacheField>
    <cacheField name="avg_marginal_reserve_up_price_uc_MU_MWh" numFmtId="0">
      <sharedItems containsNonDate="0" containsString="0" containsBlank="1"/>
    </cacheField>
    <cacheField name="E_storage_net_charge_MWh" numFmtId="0">
      <sharedItems containsString="0" containsBlank="1" containsNumber="1" minValue="-11174.2940944075" maxValue="-8685.15580783527"/>
    </cacheField>
    <cacheField name="E_production_cost" numFmtId="0">
      <sharedItems containsString="0" containsBlank="1" containsNumber="1" minValue="428803.40717261302" maxValue="664034.86634491198"/>
    </cacheField>
    <cacheField name="required_reserve_down_uc_MWh" numFmtId="0">
      <sharedItems containsString="0" containsBlank="1" containsNumber="1" minValue="15960.645167299999" maxValue="15960.645167299999"/>
    </cacheField>
    <cacheField name="avg_marginal_reserve_down_price_uc_MU_MWh" numFmtId="0">
      <sharedItems containsNonDate="0" containsString="0" containsBlank="1"/>
    </cacheField>
    <cacheField name="avg_marginal_energy_price_uc_MU_MWh" numFmtId="0">
      <sharedItems containsNonDate="0" containsString="0" containsBlank="1"/>
    </cacheField>
    <cacheField name="required_reserve_up_uc_MWh" numFmtId="0">
      <sharedItems containsString="0" containsBlank="1" containsNumber="1" minValue="26485.519375757402" maxValue="26485.519375757402"/>
    </cacheField>
    <cacheField name="slack_reserve_down_cost_uc" numFmtId="0">
      <sharedItems containsString="0" containsBlank="1" containsNumber="1" minValue="1.24464245048461E-8" maxValue="1.26673735361303E-8"/>
    </cacheField>
    <cacheField name="E_redispatch_cost" numFmtId="0">
      <sharedItems containsString="0" containsBlank="1" containsNumber="1" minValue="-272020.16463396198" maxValue="-121688.626295701"/>
    </cacheField>
    <cacheField name="slack_reserve_down_uc_MWh" numFmtId="0">
      <sharedItems containsString="0" containsBlank="1" containsNumber="1" minValue="4.9785698019384598E-11" maxValue="5.06694941445214E-11"/>
    </cacheField>
    <cacheField name="ELGEN_cost" numFmtId="0">
      <sharedItems containsString="0" containsBlank="1" containsNumber="1" minValue="1.7645058488990101E-8" maxValue="1.66687933423487E-7"/>
    </cacheField>
    <cacheField name="ECUR" numFmtId="0">
      <sharedItems containsString="0" containsBlank="1" containsNumber="1" minValue="0" maxValue="32.833163571010203"/>
    </cacheField>
    <cacheField name="LOLE" numFmtId="0">
      <sharedItems containsString="0" containsBlank="1" containsNumber="1" containsInteger="1" minValue="0" maxValue="0"/>
    </cacheField>
    <cacheField name="E_start_cost" numFmtId="0">
      <sharedItems containsString="0" containsBlank="1" containsNumber="1" minValue="0" maxValue="4356.0251823500103"/>
    </cacheField>
    <cacheField name="slack_reserve_up_uc_MWh" numFmtId="0">
      <sharedItems containsString="0" containsBlank="1" containsNumber="1" minValue="4.6916436861709602E-11" maxValue="4.7749267606354699E-11"/>
    </cacheField>
    <cacheField name="reserve_up_uc_MWh" numFmtId="0">
      <sharedItems containsString="0" containsBlank="1" containsNumber="1" minValue="26485.5693079794" maxValue="26485.578272131999"/>
    </cacheField>
    <cacheField name="E_nonRES_nonThermal_production_MWh" numFmtId="0">
      <sharedItems containsString="0" containsBlank="1" containsNumber="1" minValue="31839.885614918901" maxValue="42097.398317588297"/>
    </cacheField>
    <cacheField name="input_load_uc_MWh" numFmtId="0">
      <sharedItems containsString="0" containsBlank="1" containsNumber="1" minValue="37815.3764554999" maxValue="52727.215204199798"/>
    </cacheField>
    <cacheField name="CURE" numFmtId="0">
      <sharedItems containsString="0" containsBlank="1" containsNumber="1" minValue="0" maxValue="0.3"/>
    </cacheField>
    <cacheField name="ELGEN" numFmtId="0">
      <sharedItems containsString="0" containsBlank="1" containsNumber="1" minValue="5.8816861629967205E-10" maxValue="5.5562644474495798E-9"/>
    </cacheField>
    <cacheField name="EOPEX" numFmtId="0">
      <sharedItems containsString="0" containsBlank="1" containsNumber="1" minValue="428803.40717261302" maxValue="664034.86634491198"/>
    </cacheField>
    <cacheField name="slack_reserve_up_cost_uc" numFmtId="0">
      <sharedItems containsString="0" containsBlank="1" containsNumber="1" minValue="1.17291092154274E-8" maxValue="1.1937316901588699E-8"/>
    </cacheField>
    <cacheField name="EENS" numFmtId="0">
      <sharedItems containsString="0" containsBlank="1" containsNumber="1" minValue="2.5016503057695699E-12" maxValue="1.2144482701558399E-11"/>
    </cacheField>
    <cacheField name="reserve_down_uc_MWh" numFmtId="0">
      <sharedItems containsString="0" containsBlank="1" containsNumber="1" minValue="15960.6498561479" maxValue="15960.6511868324"/>
    </cacheField>
    <cacheField name="E_input_load_MWh" numFmtId="0">
      <sharedItems containsString="0" containsBlank="1" containsNumber="1" minValue="42025.234229650203" maxValue="53271.6924119951"/>
    </cacheField>
    <cacheField name="OPEX_uc" numFmtId="0">
      <sharedItems containsString="0" containsBlank="1" containsNumber="1" minValue="570290.57952439995" maxValue="917320.30648899497"/>
    </cacheField>
    <cacheField name="mu" numFmtId="0">
      <sharedItems containsString="0" containsBlank="1" containsNumber="1" containsInteger="1" minValue="1" maxValue="1"/>
    </cacheField>
    <cacheField name="slack_energy_reserve_up_uc_MWh" numFmtId="0">
      <sharedItems containsString="0" containsBlank="1" containsNumber="1" minValue="2.4166745439051501E-10" maxValue="2.28091476771498E-7"/>
    </cacheField>
    <cacheField name="slack_energy_reserve_down_cost_uc" numFmtId="0">
      <sharedItems containsString="0" containsBlank="1" containsNumber="1" minValue="6.0824366254853506E-8" maxValue="5.7050040207366602E-5"/>
    </cacheField>
    <cacheField name="required_energy_reserve_down_uc_MWh" numFmtId="0">
      <sharedItems containsString="0" containsBlank="1" containsNumber="1" minValue="880730.22752504505" maxValue="1818901.0039657301"/>
    </cacheField>
    <cacheField name="required_energy_reserve_up_uc_MWh" numFmtId="0">
      <sharedItems containsString="0" containsBlank="1" containsNumber="1" minValue="887664.68815806403" maxValue="2217726.3345055301"/>
    </cacheField>
    <cacheField name="slack_energy_reserve_down_uc_MWh" numFmtId="0">
      <sharedItems containsString="0" containsBlank="1" containsNumber="1" minValue="2.43297465019413E-10" maxValue="2.2820016082946701E-7"/>
    </cacheField>
    <cacheField name="slack_energy_reserve_up_cost_uc" numFmtId="0">
      <sharedItems containsString="0" containsBlank="1" containsNumber="1" minValue="6.04168635976285E-8" maxValue="5.7022869192874397E-5"/>
    </cacheField>
    <cacheField name="avg_marginal_energy_reserve_down_price_uc_MU_MWh" numFmtId="0">
      <sharedItems containsNonDate="0" containsString="0" containsBlank="1"/>
    </cacheField>
    <cacheField name="energy_reserve_down_uc_MWh" numFmtId="0">
      <sharedItems containsString="0" containsBlank="1" containsNumber="1" minValue="880731.91449230397" maxValue="1818922.44758661"/>
    </cacheField>
    <cacheField name="energy_reserve_cost_uc" numFmtId="0">
      <sharedItems containsString="0" containsBlank="1" containsNumber="1" minValue="1.90624303834805" maxValue="3.0984596226844201"/>
    </cacheField>
    <cacheField name="avg_marginal_energy_reserve_up_price_uc_MU_MWh" numFmtId="0">
      <sharedItems containsNonDate="0" containsString="0" containsBlank="1"/>
    </cacheField>
    <cacheField name="energy_reserve_up_uc_MWh" numFmtId="0">
      <sharedItems containsString="0" containsBlank="1" containsNumber="1" minValue="888260.87096988701" maxValue="2217727.7081921101"/>
    </cacheField>
    <cacheField name="non-conservative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s v="base_ramp_storage_envelopes_up_1_dn_1"/>
    <x v="0"/>
    <n v="580077.96514476696"/>
    <n v="0"/>
    <n v="13875.5574527428"/>
    <n v="4.2446220494811698E-2"/>
    <n v="5183.50288876789"/>
    <n v="12683.699999999901"/>
    <m/>
    <n v="32.833163571010203"/>
    <n v="6.3599741324070796E-8"/>
    <n v="-10369.786214379699"/>
    <n v="458389.33884914703"/>
    <m/>
    <n v="2313.9137856202601"/>
    <m/>
    <n v="-8692.0545639749398"/>
    <n v="454033.27122046897"/>
    <n v="15960.645167299999"/>
    <m/>
    <m/>
    <n v="26485.519375757402"/>
    <n v="1.26673735361303E-8"/>
    <n v="-121688.626295701"/>
    <n v="5.06694941445214E-11"/>
    <n v="9.98580404388428E-8"/>
    <n v="32.833163571010203"/>
    <n v="0"/>
    <n v="4356.0251823500103"/>
    <n v="4.7749267606354699E-11"/>
    <n v="26485.5693079794"/>
    <n v="33333.179665678799"/>
    <n v="37815.3764554999"/>
    <n v="0.3"/>
    <n v="3.3286013479614199E-9"/>
    <n v="458389.29640281998"/>
    <n v="1.1937316901588699E-8"/>
    <n v="6.35997413240708E-12"/>
    <n v="15960.6511868324"/>
    <n v="42025.234229650203"/>
    <n v="580077.92269852001"/>
    <n v="1"/>
    <m/>
    <m/>
    <m/>
    <m/>
    <m/>
    <m/>
    <m/>
    <m/>
    <m/>
    <m/>
    <m/>
    <n v="1"/>
  </r>
  <r>
    <x v="0"/>
    <x v="1"/>
    <s v="base_ramp_storage_envelopes_up_1_dn_1"/>
    <x v="0"/>
    <n v="580077.96514476696"/>
    <n v="0"/>
    <n v="13875.5574527428"/>
    <n v="4.2446220494811698E-2"/>
    <n v="5183.50288876789"/>
    <n v="12683.699999999901"/>
    <m/>
    <n v="32.833163571010203"/>
    <n v="6.3599741324070796E-8"/>
    <n v="-10369.786214379699"/>
    <n v="458389.33884914703"/>
    <m/>
    <n v="2313.9137856202601"/>
    <m/>
    <n v="-8692.0545639749398"/>
    <n v="454033.27122046897"/>
    <n v="15960.645167299999"/>
    <m/>
    <m/>
    <n v="26485.519375757402"/>
    <n v="1.26673735361303E-8"/>
    <n v="-121688.626295701"/>
    <n v="5.06694941445214E-11"/>
    <n v="9.98580404388428E-8"/>
    <n v="32.833163571010203"/>
    <n v="0"/>
    <n v="4356.0251823500103"/>
    <n v="4.7749267606354699E-11"/>
    <n v="26485.5693079794"/>
    <n v="33333.179665678799"/>
    <n v="37815.3764554999"/>
    <n v="0.3"/>
    <n v="3.3286013479614199E-9"/>
    <n v="458389.29640281998"/>
    <n v="1.1937316901588699E-8"/>
    <n v="6.35997413240708E-12"/>
    <n v="15960.6511868324"/>
    <n v="42025.234229650203"/>
    <n v="580077.92269852001"/>
    <n v="1"/>
    <m/>
    <m/>
    <m/>
    <m/>
    <m/>
    <m/>
    <m/>
    <m/>
    <m/>
    <m/>
    <m/>
    <n v="1"/>
  </r>
  <r>
    <x v="0"/>
    <x v="2"/>
    <s v="base_ramp_storage_envelopes_up_1_dn_1"/>
    <x v="0"/>
    <n v="580563.56082947506"/>
    <n v="0"/>
    <n v="13906.9014869946"/>
    <n v="4.2446228128279799E-2"/>
    <n v="5221.7456791593404"/>
    <n v="12683.699999999901"/>
    <m/>
    <n v="32.833163571010203"/>
    <n v="4.2334725013055302E-8"/>
    <n v="-10369.299359577501"/>
    <n v="458327.21166575397"/>
    <m/>
    <n v="2314.4006404224701"/>
    <m/>
    <n v="-8685.15580783527"/>
    <n v="453971.14403715701"/>
    <n v="15960.645167299999"/>
    <m/>
    <m/>
    <n v="26485.519375757402"/>
    <n v="1.24464245048461E-8"/>
    <n v="-122236.349163715"/>
    <n v="4.9785698019384598E-11"/>
    <n v="3.9262411449063E-8"/>
    <n v="32.833163571010203"/>
    <n v="0"/>
    <n v="4356.0251823500103"/>
    <n v="4.6916436861709602E-11"/>
    <n v="26485.578272131999"/>
    <n v="33340.078421816303"/>
    <n v="37815.3764554999"/>
    <n v="0.3"/>
    <n v="1.3087470483021001E-9"/>
    <n v="458327.16921950801"/>
    <n v="1.17291092154274E-8"/>
    <n v="4.2334725013055301E-12"/>
    <n v="15960.6498561479"/>
    <n v="42025.234229650203"/>
    <n v="580563.518383221"/>
    <n v="1"/>
    <m/>
    <m/>
    <m/>
    <m/>
    <m/>
    <m/>
    <m/>
    <m/>
    <m/>
    <m/>
    <m/>
    <n v="1"/>
  </r>
  <r>
    <x v="0"/>
    <x v="3"/>
    <s v="base_ramp_storage_envelopes_up_1_dn_1"/>
    <x v="0"/>
    <n v="580563.56082947506"/>
    <n v="0"/>
    <n v="13906.9014869946"/>
    <n v="4.2446228128279799E-2"/>
    <n v="5221.7456791593404"/>
    <n v="12683.699999999901"/>
    <m/>
    <n v="32.833163571010203"/>
    <n v="4.2334725013055302E-8"/>
    <n v="-10369.299359577501"/>
    <n v="458327.21166575397"/>
    <m/>
    <n v="2314.4006404224701"/>
    <m/>
    <n v="-8685.15580783527"/>
    <n v="453971.14403715701"/>
    <n v="15960.645167299999"/>
    <m/>
    <m/>
    <n v="26485.519375757402"/>
    <n v="1.24464245048461E-8"/>
    <n v="-122236.349163715"/>
    <n v="4.9785698019384598E-11"/>
    <n v="3.9262411449063E-8"/>
    <n v="32.833163571010203"/>
    <n v="0"/>
    <n v="4356.0251823500103"/>
    <n v="4.6916436861709602E-11"/>
    <n v="26485.578272131999"/>
    <n v="33340.078421816303"/>
    <n v="37815.3764554999"/>
    <n v="0.3"/>
    <n v="1.3087470483021001E-9"/>
    <n v="458327.16921950801"/>
    <n v="1.17291092154274E-8"/>
    <n v="4.2334725013055301E-12"/>
    <n v="15960.6498561479"/>
    <n v="42025.234229650203"/>
    <n v="580563.518383221"/>
    <n v="1"/>
    <m/>
    <m/>
    <m/>
    <m/>
    <m/>
    <m/>
    <m/>
    <m/>
    <m/>
    <m/>
    <m/>
    <n v="1"/>
  </r>
  <r>
    <x v="1"/>
    <x v="4"/>
    <s v="base_ramp_storage_envelopes_up_1_dn_1"/>
    <x v="1"/>
    <n v="917322.93404850201"/>
    <n v="0"/>
    <n v="12782.3886593186"/>
    <m/>
    <n v="1608.09456491115"/>
    <n v="12683.699999999901"/>
    <m/>
    <n v="0"/>
    <n v="2.5016503057695701E-8"/>
    <n v="-12422.821187932101"/>
    <n v="664037.49390323996"/>
    <m/>
    <n v="260.87881206784601"/>
    <m/>
    <n v="-11174.2940944075"/>
    <n v="664034.86634491198"/>
    <m/>
    <m/>
    <m/>
    <m/>
    <m/>
    <n v="-253285.44014408201"/>
    <m/>
    <n v="1.7645058488990101E-8"/>
    <n v="0"/>
    <n v="0"/>
    <n v="0"/>
    <m/>
    <m/>
    <n v="42097.398317588297"/>
    <n v="52727.215204199798"/>
    <n v="0"/>
    <n v="5.8816861629967205E-10"/>
    <n v="664034.86634491198"/>
    <m/>
    <n v="2.5016503057695699E-12"/>
    <m/>
    <n v="53271.6924119951"/>
    <n v="917320.30648899497"/>
    <n v="1"/>
    <n v="2.4166745439051501E-10"/>
    <n v="6.0824366254853506E-8"/>
    <n v="1483188.1553658501"/>
    <n v="1144370.1302225799"/>
    <n v="2.43297465019413E-10"/>
    <n v="6.04168635976285E-8"/>
    <m/>
    <n v="1483188.57290518"/>
    <n v="2.6275593845013798"/>
    <m/>
    <n v="1144370.8115962101"/>
    <n v="1"/>
  </r>
  <r>
    <x v="1"/>
    <x v="4"/>
    <s v="base_ramp_storage_envelopes_up_1_dn_1"/>
    <x v="2"/>
    <n v="673346.72945215704"/>
    <n v="0"/>
    <n v="13801.495348434401"/>
    <m/>
    <n v="3231.4142510962602"/>
    <n v="12683.699999999901"/>
    <m/>
    <n v="0"/>
    <n v="3.3259463786326399E-8"/>
    <n v="-12024.9301631047"/>
    <n v="428805.31247381499"/>
    <m/>
    <n v="658.76983689523797"/>
    <m/>
    <n v="-10570.081097338199"/>
    <n v="428803.40717261302"/>
    <m/>
    <m/>
    <m/>
    <m/>
    <m/>
    <n v="-244541.41592243299"/>
    <m/>
    <n v="2.9045970938982299E-8"/>
    <n v="0"/>
    <n v="0"/>
    <n v="0"/>
    <m/>
    <m/>
    <n v="31839.885614918901"/>
    <n v="42411.584441999898"/>
    <n v="0"/>
    <n v="9.6819903129941208E-10"/>
    <n v="428803.40717261302"/>
    <m/>
    <n v="3.3259463786326399E-12"/>
    <m/>
    <n v="42409.966712255598"/>
    <n v="673344.82309504598"/>
    <n v="1"/>
    <n v="2.28091476771498E-7"/>
    <n v="5.7050040207366602E-5"/>
    <n v="1017636.45181175"/>
    <n v="887664.68815806403"/>
    <n v="2.2820016082946701E-7"/>
    <n v="5.7022869192874397E-5"/>
    <m/>
    <n v="1017982.16737817"/>
    <n v="1.90624303834805"/>
    <m/>
    <n v="888260.87096988701"/>
    <n v="1"/>
  </r>
  <r>
    <x v="1"/>
    <x v="4"/>
    <s v="base_ramp_storage_envelopes_up_1_dn_1"/>
    <x v="0"/>
    <n v="570293.67799001199"/>
    <n v="0"/>
    <n v="14546.0858357746"/>
    <m/>
    <n v="5543.7915677948004"/>
    <n v="12683.699999999901"/>
    <m/>
    <n v="32.833163571010203"/>
    <n v="1.21444827015584E-7"/>
    <n v="-10757.5037728973"/>
    <n v="439090.49431806902"/>
    <m/>
    <n v="1926.1962271026"/>
    <m/>
    <n v="-9002.2942679798198"/>
    <n v="439087.39586121897"/>
    <m/>
    <m/>
    <m/>
    <m/>
    <m/>
    <n v="-131203.183663181"/>
    <m/>
    <n v="1.66687933423487E-7"/>
    <n v="32.833163571010203"/>
    <n v="0"/>
    <n v="0"/>
    <m/>
    <m/>
    <n v="33022.9399616761"/>
    <n v="37815.3764554999"/>
    <n v="0.3"/>
    <n v="5.5562644474495798E-9"/>
    <n v="439087.39586121897"/>
    <m/>
    <n v="1.2144482701558399E-11"/>
    <m/>
    <n v="42025.234229650203"/>
    <n v="570290.57952439995"/>
    <n v="1"/>
    <n v="1.08030874758571E-8"/>
    <n v="3.2874116614042701E-6"/>
    <n v="880730.22752504505"/>
    <n v="2217726.3345055301"/>
    <n v="1.3149646645616999E-8"/>
    <n v="2.7007718689642802E-6"/>
    <m/>
    <n v="880731.91449230397"/>
    <n v="3.0984596226844201"/>
    <m/>
    <n v="2217727.7081921101"/>
    <n v="1"/>
  </r>
  <r>
    <x v="1"/>
    <x v="4"/>
    <s v="base_ramp_storage_envelopes_up_1_dn_1"/>
    <x v="3"/>
    <n v="835253.80191126897"/>
    <n v="0"/>
    <n v="12531.5987531802"/>
    <m/>
    <n v="1781.4438883021301"/>
    <n v="12683.699999999901"/>
    <m/>
    <n v="7.5914297593348596"/>
    <n v="6.0290225278208794E-8"/>
    <n v="-11992.1621994004"/>
    <n v="563233.63721966895"/>
    <m/>
    <n v="691.53780059952703"/>
    <m/>
    <n v="-10750.154864878001"/>
    <n v="563230.65878548997"/>
    <m/>
    <m/>
    <m/>
    <m/>
    <m/>
    <n v="-272020.16463396198"/>
    <m/>
    <n v="5.1849525239601899E-8"/>
    <n v="7.5914297593348596"/>
    <n v="0"/>
    <n v="0"/>
    <m/>
    <m/>
    <n v="38511.133830549603"/>
    <n v="50051.0742703"/>
    <n v="0.08"/>
    <n v="1.72831750798673E-9"/>
    <n v="563230.65878548997"/>
    <m/>
    <n v="6.0290225278208801E-12"/>
    <m/>
    <n v="49261.288695426098"/>
    <n v="835250.82341945195"/>
    <n v="1"/>
    <n v="1.23455920416469E-8"/>
    <n v="3.11856991425994E-6"/>
    <n v="1818901.0039657301"/>
    <n v="1159533.0623170401"/>
    <n v="1.2474279657039699E-8"/>
    <n v="3.0863980104117499E-6"/>
    <m/>
    <n v="1818922.44758661"/>
    <n v="2.9784856107635198"/>
    <m/>
    <n v="1159563.16317692"/>
    <n v="1"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2AB8B-45D9-49F2-B0AE-560C58085459}" name="PivotTable1" cacheId="24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F151" firstHeaderRow="1" firstDataRow="2" firstDataCol="1"/>
  <pivotFields count="56">
    <pivotField axis="axisRow" showAll="0" defaultSubtotal="0">
      <items count="6">
        <item x="0"/>
        <item m="1" x="3"/>
        <item x="1"/>
        <item m="1" x="4"/>
        <item m="1" x="5"/>
        <item x="2"/>
      </items>
    </pivotField>
    <pivotField axis="axisRow" showAll="0" defaultSubtotal="0">
      <items count="16">
        <item m="1" x="14"/>
        <item m="1" x="11"/>
        <item m="1" x="15"/>
        <item m="1" x="13"/>
        <item x="5"/>
        <item m="1" x="10"/>
        <item m="1" x="12"/>
        <item m="1" x="6"/>
        <item m="1" x="7"/>
        <item m="1" x="9"/>
        <item m="1" x="8"/>
        <item x="4"/>
        <item x="0"/>
        <item x="2"/>
        <item x="1"/>
        <item x="3"/>
      </items>
    </pivotField>
    <pivotField showAll="0" defaultSubtotal="0"/>
    <pivotField axis="axisCol" showAll="0" defaultSubtotal="0">
      <items count="5">
        <item x="1"/>
        <item x="2"/>
        <item x="0"/>
        <item x="4"/>
        <item x="3"/>
      </items>
    </pivotField>
    <pivotField dataField="1" showAll="0" defaultSubtotal="0"/>
    <pivotField dataField="1"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ubtotalTop="0" showAll="0" defaultSubtotal="0"/>
    <pivotField showAll="0" defaultSubtotal="0"/>
    <pivotField showAll="0" defaultSubtotal="0"/>
    <pivotField subtotalTop="0" showAll="0" defaultSubtotal="0"/>
    <pivotField dataField="1" subtotalTop="0" showAll="0" defaultSubtotal="0"/>
    <pivotField dataField="1" showAll="0" defaultSubtotal="0"/>
    <pivotField subtotalTop="0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dataField="1" subtotalTop="0" showAll="0" defaultSubtotal="0"/>
    <pivotField dataField="1" subtotalTop="0" showAll="0" defaultSubtotal="0"/>
    <pivotField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</pivotFields>
  <rowFields count="3">
    <field x="0"/>
    <field x="-2"/>
    <field x="1"/>
  </rowFields>
  <rowItems count="147">
    <i>
      <x/>
    </i>
    <i r="1">
      <x/>
    </i>
    <i r="2">
      <x v="12"/>
    </i>
    <i r="2">
      <x v="13"/>
    </i>
    <i r="2">
      <x v="14"/>
    </i>
    <i r="2">
      <x v="15"/>
    </i>
    <i r="1" i="1">
      <x v="1"/>
    </i>
    <i r="2" i="1">
      <x v="12"/>
    </i>
    <i r="2" i="1">
      <x v="13"/>
    </i>
    <i r="2" i="1">
      <x v="14"/>
    </i>
    <i r="2" i="1">
      <x v="15"/>
    </i>
    <i r="1" i="2">
      <x v="2"/>
    </i>
    <i r="2" i="2">
      <x v="12"/>
    </i>
    <i r="2" i="2">
      <x v="13"/>
    </i>
    <i r="2" i="2">
      <x v="14"/>
    </i>
    <i r="2" i="2">
      <x v="15"/>
    </i>
    <i r="1" i="3">
      <x v="3"/>
    </i>
    <i r="2" i="3">
      <x v="12"/>
    </i>
    <i r="2" i="3">
      <x v="13"/>
    </i>
    <i r="2" i="3">
      <x v="14"/>
    </i>
    <i r="2" i="3">
      <x v="15"/>
    </i>
    <i r="1" i="4">
      <x v="4"/>
    </i>
    <i r="2" i="4">
      <x v="12"/>
    </i>
    <i r="2" i="4">
      <x v="13"/>
    </i>
    <i r="2" i="4">
      <x v="14"/>
    </i>
    <i r="2" i="4">
      <x v="15"/>
    </i>
    <i r="1" i="5">
      <x v="5"/>
    </i>
    <i r="2" i="5">
      <x v="12"/>
    </i>
    <i r="2" i="5">
      <x v="13"/>
    </i>
    <i r="2" i="5">
      <x v="14"/>
    </i>
    <i r="2" i="5">
      <x v="15"/>
    </i>
    <i r="1" i="6">
      <x v="6"/>
    </i>
    <i r="2" i="6">
      <x v="12"/>
    </i>
    <i r="2" i="6">
      <x v="13"/>
    </i>
    <i r="2" i="6">
      <x v="14"/>
    </i>
    <i r="2" i="6">
      <x v="15"/>
    </i>
    <i r="1" i="7">
      <x v="7"/>
    </i>
    <i r="2" i="7">
      <x v="12"/>
    </i>
    <i r="2" i="7">
      <x v="13"/>
    </i>
    <i r="2" i="7">
      <x v="14"/>
    </i>
    <i r="2" i="7">
      <x v="15"/>
    </i>
    <i r="1" i="8">
      <x v="8"/>
    </i>
    <i r="2" i="8">
      <x v="12"/>
    </i>
    <i r="2" i="8">
      <x v="13"/>
    </i>
    <i r="2" i="8">
      <x v="14"/>
    </i>
    <i r="2" i="8">
      <x v="15"/>
    </i>
    <i r="1" i="9">
      <x v="9"/>
    </i>
    <i r="2" i="9">
      <x v="12"/>
    </i>
    <i r="2" i="9">
      <x v="13"/>
    </i>
    <i r="2" i="9">
      <x v="14"/>
    </i>
    <i r="2" i="9">
      <x v="15"/>
    </i>
    <i r="1" i="10">
      <x v="10"/>
    </i>
    <i r="2" i="10">
      <x v="12"/>
    </i>
    <i r="2" i="10">
      <x v="13"/>
    </i>
    <i r="2" i="10">
      <x v="14"/>
    </i>
    <i r="2" i="10">
      <x v="15"/>
    </i>
    <i r="1" i="11">
      <x v="11"/>
    </i>
    <i r="2" i="11">
      <x v="12"/>
    </i>
    <i r="2" i="11">
      <x v="13"/>
    </i>
    <i r="2" i="11">
      <x v="14"/>
    </i>
    <i r="2" i="11">
      <x v="15"/>
    </i>
    <i r="1" i="12">
      <x v="12"/>
    </i>
    <i r="2" i="12">
      <x v="12"/>
    </i>
    <i r="2" i="12">
      <x v="13"/>
    </i>
    <i r="2" i="12">
      <x v="14"/>
    </i>
    <i r="2" i="12">
      <x v="15"/>
    </i>
    <i r="1" i="13">
      <x v="13"/>
    </i>
    <i r="2" i="13">
      <x v="12"/>
    </i>
    <i r="2" i="13">
      <x v="13"/>
    </i>
    <i r="2" i="13">
      <x v="14"/>
    </i>
    <i r="2" i="13">
      <x v="15"/>
    </i>
    <i r="1" i="14">
      <x v="14"/>
    </i>
    <i r="2" i="14">
      <x v="12"/>
    </i>
    <i r="2" i="14">
      <x v="13"/>
    </i>
    <i r="2" i="14">
      <x v="14"/>
    </i>
    <i r="2" i="14">
      <x v="15"/>
    </i>
    <i r="1" i="15">
      <x v="15"/>
    </i>
    <i r="2" i="15">
      <x v="12"/>
    </i>
    <i r="2" i="15">
      <x v="13"/>
    </i>
    <i r="2" i="15">
      <x v="14"/>
    </i>
    <i r="2" i="15">
      <x v="15"/>
    </i>
    <i>
      <x v="2"/>
    </i>
    <i r="1">
      <x/>
    </i>
    <i r="2">
      <x v="11"/>
    </i>
    <i r="1" i="1">
      <x v="1"/>
    </i>
    <i r="2" i="1">
      <x v="11"/>
    </i>
    <i r="1" i="2">
      <x v="2"/>
    </i>
    <i r="2" i="2">
      <x v="11"/>
    </i>
    <i r="1" i="3">
      <x v="3"/>
    </i>
    <i r="2" i="3">
      <x v="11"/>
    </i>
    <i r="1" i="4">
      <x v="4"/>
    </i>
    <i r="2" i="4">
      <x v="11"/>
    </i>
    <i r="1" i="5">
      <x v="5"/>
    </i>
    <i r="2" i="5">
      <x v="11"/>
    </i>
    <i r="1" i="6">
      <x v="6"/>
    </i>
    <i r="2" i="6">
      <x v="11"/>
    </i>
    <i r="1" i="7">
      <x v="7"/>
    </i>
    <i r="2" i="7">
      <x v="11"/>
    </i>
    <i r="1" i="8">
      <x v="8"/>
    </i>
    <i r="2" i="8">
      <x v="11"/>
    </i>
    <i r="1" i="9">
      <x v="9"/>
    </i>
    <i r="2" i="9">
      <x v="11"/>
    </i>
    <i r="1" i="10">
      <x v="10"/>
    </i>
    <i r="2" i="10">
      <x v="11"/>
    </i>
    <i r="1" i="11">
      <x v="11"/>
    </i>
    <i r="2" i="11">
      <x v="11"/>
    </i>
    <i r="1" i="12">
      <x v="12"/>
    </i>
    <i r="2" i="12">
      <x v="11"/>
    </i>
    <i r="1" i="13">
      <x v="13"/>
    </i>
    <i r="2" i="13">
      <x v="11"/>
    </i>
    <i r="1" i="14">
      <x v="14"/>
    </i>
    <i r="2" i="14">
      <x v="11"/>
    </i>
    <i r="1" i="15">
      <x v="15"/>
    </i>
    <i r="2" i="15">
      <x v="11"/>
    </i>
    <i>
      <x v="5"/>
    </i>
    <i r="1">
      <x/>
    </i>
    <i r="2">
      <x v="4"/>
    </i>
    <i r="1" i="1">
      <x v="1"/>
    </i>
    <i r="2" i="1">
      <x v="4"/>
    </i>
    <i r="1" i="2">
      <x v="2"/>
    </i>
    <i r="2" i="2">
      <x v="4"/>
    </i>
    <i r="1" i="3">
      <x v="3"/>
    </i>
    <i r="2" i="3">
      <x v="4"/>
    </i>
    <i r="1" i="4">
      <x v="4"/>
    </i>
    <i r="2" i="4">
      <x v="4"/>
    </i>
    <i r="1" i="5">
      <x v="5"/>
    </i>
    <i r="2" i="5">
      <x v="4"/>
    </i>
    <i r="1" i="6">
      <x v="6"/>
    </i>
    <i r="2" i="6">
      <x v="4"/>
    </i>
    <i r="1" i="7">
      <x v="7"/>
    </i>
    <i r="2" i="7">
      <x v="4"/>
    </i>
    <i r="1" i="8">
      <x v="8"/>
    </i>
    <i r="2" i="8">
      <x v="4"/>
    </i>
    <i r="1" i="9">
      <x v="9"/>
    </i>
    <i r="2" i="9">
      <x v="4"/>
    </i>
    <i r="1" i="10">
      <x v="10"/>
    </i>
    <i r="2" i="10">
      <x v="4"/>
    </i>
    <i r="1" i="11">
      <x v="11"/>
    </i>
    <i r="2" i="11">
      <x v="4"/>
    </i>
    <i r="1" i="12">
      <x v="12"/>
    </i>
    <i r="2" i="12">
      <x v="4"/>
    </i>
    <i r="1" i="13">
      <x v="13"/>
    </i>
    <i r="2" i="13">
      <x v="4"/>
    </i>
    <i r="1" i="14">
      <x v="14"/>
    </i>
    <i r="2" i="14">
      <x v="4"/>
    </i>
    <i r="1" i="15">
      <x v="15"/>
    </i>
    <i r="2" i="15">
      <x v="4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6">
    <dataField name="Sum of slack_reserve_up_cost_uc" fld="38" baseField="0" baseItem="0"/>
    <dataField name="Sum of slack_reserve_down_cost_uc" fld="24" baseField="0" baseItem="0"/>
    <dataField name="Sum of slack_energy_reserve_up_cost_uc" fld="49" baseField="0" baseItem="0"/>
    <dataField name="Sum of slack_energy_reserve_down_cost_uc" fld="45" baseField="0" baseItem="0"/>
    <dataField name="Sum of reserve_cost_uc" fld="7" baseField="0" baseItem="0"/>
    <dataField name="Sum of energy_reserve_cost_uc" fld="52" baseField="0" baseItem="0"/>
    <dataField name="Sum of EOV" fld="14" baseField="0" baseItem="0"/>
    <dataField name="Sum of OV_uc" fld="4" baseField="0" baseItem="0"/>
    <dataField name="Sum of E_start_cost" fld="30" baseField="0" baseItem="0"/>
    <dataField name="Sum of E_fixed_cost" fld="5" baseField="0" baseItem="0"/>
    <dataField name="Sum of E_production_cost" fld="19" baseField="0" baseItem="0"/>
    <dataField name="Sum of EOPEX" fld="37" baseField="0" baseItem="0"/>
    <dataField name="Sum of OPEX_uc" fld="42" baseField="0" baseItem="0"/>
    <dataField name="Sum of ELGEN_cost" fld="27" baseField="0" baseItem="0"/>
    <dataField name="Sum of EENS_cost" fld="12" baseField="0" baseItem="0"/>
    <dataField name="Sum of E_redispatch_cost" fld="25" baseField="0" baseItem="0"/>
  </dataFields>
  <formats count="65">
    <format dxfId="171">
      <pivotArea collapsedLevelsAreSubtotals="1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170">
      <pivotArea collapsedLevelsAreSubtotals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169">
      <pivotArea collapsedLevelsAreSubtotals="1" fieldPosition="0">
        <references count="2">
          <reference field="4294967294" count="1">
            <x v="4"/>
          </reference>
          <reference field="0" count="1" selected="0">
            <x v="0"/>
          </reference>
        </references>
      </pivotArea>
    </format>
    <format dxfId="168">
      <pivotArea collapsedLevelsAreSubtotals="1" fieldPosition="0">
        <references count="2">
          <reference field="4294967294" count="1">
            <x v="6"/>
          </reference>
          <reference field="0" count="1" selected="0">
            <x v="0"/>
          </reference>
        </references>
      </pivotArea>
    </format>
    <format dxfId="167">
      <pivotArea collapsedLevelsAreSubtotals="1" fieldPosition="0">
        <references count="2">
          <reference field="4294967294" count="1">
            <x v="7"/>
          </reference>
          <reference field="0" count="1" selected="0">
            <x v="0"/>
          </reference>
        </references>
      </pivotArea>
    </format>
    <format dxfId="166">
      <pivotArea collapsedLevelsAreSubtotals="1" fieldPosition="0">
        <references count="2">
          <reference field="4294967294" count="1">
            <x v="13"/>
          </reference>
          <reference field="0" count="1" selected="0">
            <x v="0"/>
          </reference>
        </references>
      </pivotArea>
    </format>
    <format dxfId="165">
      <pivotArea collapsedLevelsAreSubtotals="1" fieldPosition="0">
        <references count="2">
          <reference field="4294967294" count="1">
            <x v="14"/>
          </reference>
          <reference field="0" count="1" selected="0">
            <x v="0"/>
          </reference>
        </references>
      </pivotArea>
    </format>
    <format dxfId="164">
      <pivotArea collapsedLevelsAreSubtotals="1" fieldPosition="0">
        <references count="1">
          <reference field="0" count="1">
            <x v="1"/>
          </reference>
        </references>
      </pivotArea>
    </format>
    <format dxfId="163">
      <pivotArea collapsedLevelsAreSubtotals="1" fieldPosition="0">
        <references count="2">
          <reference field="4294967294" count="1">
            <x v="0"/>
          </reference>
          <reference field="0" count="1" selected="0">
            <x v="1"/>
          </reference>
        </references>
      </pivotArea>
    </format>
    <format dxfId="162">
      <pivotArea collapsedLevelsAreSubtotals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161">
      <pivotArea collapsedLevelsAreSubtotals="1" fieldPosition="0">
        <references count="2">
          <reference field="4294967294" count="1">
            <x v="4"/>
          </reference>
          <reference field="0" count="1" selected="0">
            <x v="1"/>
          </reference>
        </references>
      </pivotArea>
    </format>
    <format dxfId="160">
      <pivotArea collapsedLevelsAreSubtotals="1" fieldPosition="0">
        <references count="2">
          <reference field="4294967294" count="1">
            <x v="6"/>
          </reference>
          <reference field="0" count="1" selected="0">
            <x v="1"/>
          </reference>
        </references>
      </pivotArea>
    </format>
    <format dxfId="159">
      <pivotArea collapsedLevelsAreSubtotals="1" fieldPosition="0">
        <references count="2">
          <reference field="4294967294" count="1">
            <x v="7"/>
          </reference>
          <reference field="0" count="1" selected="0">
            <x v="1"/>
          </reference>
        </references>
      </pivotArea>
    </format>
    <format dxfId="158">
      <pivotArea collapsedLevelsAreSubtotals="1" fieldPosition="0">
        <references count="2">
          <reference field="4294967294" count="1">
            <x v="13"/>
          </reference>
          <reference field="0" count="1" selected="0">
            <x v="1"/>
          </reference>
        </references>
      </pivotArea>
    </format>
    <format dxfId="157">
      <pivotArea collapsedLevelsAreSubtotals="1" fieldPosition="0">
        <references count="2">
          <reference field="4294967294" count="1">
            <x v="14"/>
          </reference>
          <reference field="0" count="1" selected="0">
            <x v="1"/>
          </reference>
        </references>
      </pivotArea>
    </format>
    <format dxfId="156">
      <pivotArea collapsedLevelsAreSubtotals="1" fieldPosition="0">
        <references count="1">
          <reference field="0" count="1">
            <x v="2"/>
          </reference>
        </references>
      </pivotArea>
    </format>
    <format dxfId="155">
      <pivotArea collapsedLevelsAreSubtotals="1" fieldPosition="0">
        <references count="2">
          <reference field="4294967294" count="1">
            <x v="0"/>
          </reference>
          <reference field="0" count="1" selected="0">
            <x v="2"/>
          </reference>
        </references>
      </pivotArea>
    </format>
    <format dxfId="154">
      <pivotArea collapsedLevelsAreSubtotals="1" fieldPosition="0">
        <references count="2">
          <reference field="4294967294" count="1">
            <x v="1"/>
          </reference>
          <reference field="0" count="1" selected="0">
            <x v="2"/>
          </reference>
        </references>
      </pivotArea>
    </format>
    <format dxfId="153">
      <pivotArea collapsedLevelsAreSubtotals="1" fieldPosition="0">
        <references count="2">
          <reference field="4294967294" count="1">
            <x v="4"/>
          </reference>
          <reference field="0" count="1" selected="0">
            <x v="2"/>
          </reference>
        </references>
      </pivotArea>
    </format>
    <format dxfId="152">
      <pivotArea collapsedLevelsAreSubtotals="1" fieldPosition="0">
        <references count="2">
          <reference field="4294967294" count="1">
            <x v="6"/>
          </reference>
          <reference field="0" count="1" selected="0">
            <x v="2"/>
          </reference>
        </references>
      </pivotArea>
    </format>
    <format dxfId="151">
      <pivotArea collapsedLevelsAreSubtotals="1" fieldPosition="0">
        <references count="2">
          <reference field="4294967294" count="1">
            <x v="7"/>
          </reference>
          <reference field="0" count="1" selected="0">
            <x v="2"/>
          </reference>
        </references>
      </pivotArea>
    </format>
    <format dxfId="150">
      <pivotArea collapsedLevelsAreSubtotals="1" fieldPosition="0">
        <references count="2">
          <reference field="4294967294" count="1">
            <x v="13"/>
          </reference>
          <reference field="0" count="1" selected="0">
            <x v="2"/>
          </reference>
        </references>
      </pivotArea>
    </format>
    <format dxfId="149">
      <pivotArea collapsedLevelsAreSubtotals="1" fieldPosition="0">
        <references count="2">
          <reference field="4294967294" count="1">
            <x v="14"/>
          </reference>
          <reference field="0" count="1" selected="0">
            <x v="2"/>
          </reference>
        </references>
      </pivotArea>
    </format>
    <format dxfId="148">
      <pivotArea collapsedLevelsAreSubtotals="1" fieldPosition="0">
        <references count="3">
          <reference field="4294967294" count="1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7">
      <pivotArea collapsedLevelsAreSubtotals="1" fieldPosition="0">
        <references count="3">
          <reference field="4294967294" count="1">
            <x v="1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6">
      <pivotArea collapsedLevelsAreSubtotals="1" fieldPosition="0">
        <references count="3">
          <reference field="4294967294" count="1">
            <x v="4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5">
      <pivotArea collapsedLevelsAreSubtotals="1" fieldPosition="0">
        <references count="3">
          <reference field="4294967294" count="1">
            <x v="6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4">
      <pivotArea collapsedLevelsAreSubtotals="1" fieldPosition="0">
        <references count="3">
          <reference field="4294967294" count="1">
            <x v="7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3">
      <pivotArea collapsedLevelsAreSubtotals="1" fieldPosition="0">
        <references count="3">
          <reference field="4294967294" count="1">
            <x v="8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2">
      <pivotArea collapsedLevelsAreSubtotals="1" fieldPosition="0">
        <references count="3">
          <reference field="4294967294" count="1">
            <x v="9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1">
      <pivotArea collapsedLevelsAreSubtotals="1" fieldPosition="0">
        <references count="3">
          <reference field="4294967294" count="1">
            <x v="10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40">
      <pivotArea collapsedLevelsAreSubtotals="1" fieldPosition="0">
        <references count="3">
          <reference field="4294967294" count="1">
            <x v="11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39">
      <pivotArea collapsedLevelsAreSubtotals="1" fieldPosition="0">
        <references count="3">
          <reference field="4294967294" count="1">
            <x v="12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38">
      <pivotArea collapsedLevelsAreSubtotals="1" fieldPosition="0">
        <references count="3">
          <reference field="4294967294" count="1">
            <x v="13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37">
      <pivotArea collapsedLevelsAreSubtotals="1" fieldPosition="0">
        <references count="3">
          <reference field="4294967294" count="1">
            <x v="14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36">
      <pivotArea collapsedLevelsAreSubtotals="1" fieldPosition="0">
        <references count="3">
          <reference field="4294967294" count="1">
            <x v="15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135">
      <pivotArea collapsedLevelsAreSubtotals="1" fieldPosition="0">
        <references count="2">
          <reference field="0" count="1">
            <x v="1"/>
          </reference>
          <reference field="3" count="1" selected="0">
            <x v="2"/>
          </reference>
        </references>
      </pivotArea>
    </format>
    <format dxfId="134">
      <pivotArea collapsedLevelsAreSubtotals="1" fieldPosition="0">
        <references count="3">
          <reference field="4294967294" count="1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33">
      <pivotArea collapsedLevelsAreSubtotals="1" fieldPosition="0">
        <references count="3">
          <reference field="4294967294" count="1">
            <x v="1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32">
      <pivotArea collapsedLevelsAreSubtotals="1" fieldPosition="0">
        <references count="3">
          <reference field="4294967294" count="1">
            <x v="4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31">
      <pivotArea collapsedLevelsAreSubtotals="1" fieldPosition="0">
        <references count="3">
          <reference field="4294967294" count="1">
            <x v="6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30">
      <pivotArea collapsedLevelsAreSubtotals="1" fieldPosition="0">
        <references count="3">
          <reference field="4294967294" count="1">
            <x v="7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9">
      <pivotArea collapsedLevelsAreSubtotals="1" fieldPosition="0">
        <references count="3">
          <reference field="4294967294" count="1">
            <x v="8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8">
      <pivotArea collapsedLevelsAreSubtotals="1" fieldPosition="0">
        <references count="3">
          <reference field="4294967294" count="1">
            <x v="9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7">
      <pivotArea collapsedLevelsAreSubtotals="1" fieldPosition="0">
        <references count="3">
          <reference field="4294967294" count="1">
            <x v="10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6">
      <pivotArea collapsedLevelsAreSubtotals="1" fieldPosition="0">
        <references count="3">
          <reference field="4294967294" count="1">
            <x v="11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5">
      <pivotArea collapsedLevelsAreSubtotals="1" fieldPosition="0">
        <references count="3">
          <reference field="4294967294" count="1">
            <x v="12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4">
      <pivotArea collapsedLevelsAreSubtotals="1" fieldPosition="0">
        <references count="3">
          <reference field="4294967294" count="1">
            <x v="13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3">
      <pivotArea collapsedLevelsAreSubtotals="1" fieldPosition="0">
        <references count="3">
          <reference field="4294967294" count="1">
            <x v="14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2">
      <pivotArea collapsedLevelsAreSubtotals="1" fieldPosition="0">
        <references count="3">
          <reference field="4294967294" count="1">
            <x v="15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121">
      <pivotArea collapsedLevelsAreSubtotals="1" fieldPosition="0">
        <references count="2">
          <reference field="0" count="1">
            <x v="2"/>
          </reference>
          <reference field="3" count="1" selected="0">
            <x v="2"/>
          </reference>
        </references>
      </pivotArea>
    </format>
    <format dxfId="120">
      <pivotArea collapsedLevelsAreSubtotals="1" fieldPosition="0">
        <references count="3">
          <reference field="4294967294" count="1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9">
      <pivotArea collapsedLevelsAreSubtotals="1" fieldPosition="0">
        <references count="3">
          <reference field="4294967294" count="1">
            <x v="1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8">
      <pivotArea collapsedLevelsAreSubtotals="1" fieldPosition="0">
        <references count="3">
          <reference field="4294967294" count="1">
            <x v="4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7">
      <pivotArea collapsedLevelsAreSubtotals="1" fieldPosition="0">
        <references count="3">
          <reference field="4294967294" count="1">
            <x v="6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6">
      <pivotArea collapsedLevelsAreSubtotals="1" fieldPosition="0">
        <references count="3">
          <reference field="4294967294" count="1">
            <x v="7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5">
      <pivotArea collapsedLevelsAreSubtotals="1" fieldPosition="0">
        <references count="3">
          <reference field="4294967294" count="1">
            <x v="8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4">
      <pivotArea collapsedLevelsAreSubtotals="1" fieldPosition="0">
        <references count="3">
          <reference field="4294967294" count="1">
            <x v="9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3">
      <pivotArea collapsedLevelsAreSubtotals="1" fieldPosition="0">
        <references count="3">
          <reference field="4294967294" count="1">
            <x v="10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2">
      <pivotArea collapsedLevelsAreSubtotals="1" fieldPosition="0">
        <references count="3">
          <reference field="4294967294" count="1">
            <x v="11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1">
      <pivotArea collapsedLevelsAreSubtotals="1" fieldPosition="0">
        <references count="3">
          <reference field="4294967294" count="1">
            <x v="12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10">
      <pivotArea collapsedLevelsAreSubtotals="1" fieldPosition="0">
        <references count="3">
          <reference field="4294967294" count="1">
            <x v="13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09">
      <pivotArea collapsedLevelsAreSubtotals="1" fieldPosition="0">
        <references count="3">
          <reference field="4294967294" count="1">
            <x v="14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08">
      <pivotArea collapsedLevelsAreSubtotals="1" fieldPosition="0">
        <references count="3">
          <reference field="4294967294" count="1">
            <x v="15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107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0"/>
          </reference>
          <reference field="1" count="2">
            <x v="7"/>
            <x v="12"/>
          </reference>
          <reference field="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DC9DD-D4BB-4791-BAEF-E9CA39F622E8}" name="PivotTable1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P14" firstHeaderRow="1" firstDataRow="3" firstDataCol="1"/>
  <pivotFields count="56">
    <pivotField axis="axisRow" showAll="0" defaultSubtotal="0">
      <items count="6">
        <item x="0"/>
        <item m="1" x="3"/>
        <item x="1"/>
        <item m="1" x="4"/>
        <item m="1" x="5"/>
        <item x="2"/>
      </items>
    </pivotField>
    <pivotField axis="axisRow" showAll="0" defaultSubtotal="0">
      <items count="16">
        <item m="1" x="14"/>
        <item m="1" x="11"/>
        <item m="1" x="15"/>
        <item m="1" x="13"/>
        <item x="5"/>
        <item m="1" x="10"/>
        <item m="1" x="12"/>
        <item m="1" x="6"/>
        <item m="1" x="7"/>
        <item m="1" x="9"/>
        <item m="1" x="8"/>
        <item x="4"/>
        <item x="0"/>
        <item x="2"/>
        <item x="1"/>
        <item x="3"/>
      </items>
    </pivotField>
    <pivotField showAll="0" defaultSubtotal="0"/>
    <pivotField axis="axisCol" showAll="0" defaultSubtotal="0">
      <items count="5">
        <item x="1"/>
        <item x="2"/>
        <item x="0"/>
        <item x="4"/>
        <item x="3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ubtotalTop="0" showAll="0" defaultSubtotal="0"/>
    <pivotField dataField="1"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dataField="1" subtotalTop="0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</pivotFields>
  <rowFields count="2">
    <field x="0"/>
    <field x="1"/>
  </rowFields>
  <rowItems count="9">
    <i>
      <x/>
    </i>
    <i r="1">
      <x v="12"/>
    </i>
    <i r="1">
      <x v="13"/>
    </i>
    <i r="1">
      <x v="14"/>
    </i>
    <i r="1">
      <x v="15"/>
    </i>
    <i>
      <x v="2"/>
    </i>
    <i r="1">
      <x v="11"/>
    </i>
    <i>
      <x v="5"/>
    </i>
    <i r="1">
      <x v="4"/>
    </i>
  </rowItems>
  <colFields count="2">
    <field x="3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</colItems>
  <dataFields count="3">
    <dataField name="Sum of slack_reserve_up_cost_uc" fld="38" baseField="0" baseItem="0"/>
    <dataField name="Sum of slack_reserve_down_cost_uc" fld="24" baseField="0" baseItem="0"/>
    <dataField name="Sum of OV_uc" fld="4" baseField="0" baseItem="0"/>
  </dataFields>
  <formats count="20">
    <format dxfId="106">
      <pivotArea collapsedLevelsAreSubtotals="1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105">
      <pivotArea collapsedLevelsAreSubtotals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104">
      <pivotArea collapsedLevelsAreSubtotals="1" fieldPosition="0">
        <references count="2">
          <reference field="4294967294" count="1">
            <x v="2"/>
          </reference>
          <reference field="0" count="1" selected="0">
            <x v="0"/>
          </reference>
        </references>
      </pivotArea>
    </format>
    <format dxfId="103">
      <pivotArea collapsedLevelsAreSubtotals="1" fieldPosition="0">
        <references count="2">
          <reference field="4294967294" count="1">
            <x v="0"/>
          </reference>
          <reference field="0" count="1" selected="0">
            <x v="1"/>
          </reference>
        </references>
      </pivotArea>
    </format>
    <format dxfId="102">
      <pivotArea collapsedLevelsAreSubtotals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101">
      <pivotArea collapsedLevelsAreSubtotals="1" fieldPosition="0">
        <references count="2">
          <reference field="4294967294" count="1">
            <x v="2"/>
          </reference>
          <reference field="0" count="1" selected="0">
            <x v="1"/>
          </reference>
        </references>
      </pivotArea>
    </format>
    <format dxfId="100">
      <pivotArea collapsedLevelsAreSubtotals="1" fieldPosition="0">
        <references count="2">
          <reference field="4294967294" count="1">
            <x v="0"/>
          </reference>
          <reference field="0" count="1" selected="0">
            <x v="2"/>
          </reference>
        </references>
      </pivotArea>
    </format>
    <format dxfId="99">
      <pivotArea collapsedLevelsAreSubtotals="1" fieldPosition="0">
        <references count="2">
          <reference field="4294967294" count="1">
            <x v="1"/>
          </reference>
          <reference field="0" count="1" selected="0">
            <x v="2"/>
          </reference>
        </references>
      </pivotArea>
    </format>
    <format dxfId="98">
      <pivotArea collapsedLevelsAreSubtotals="1" fieldPosition="0">
        <references count="2">
          <reference field="4294967294" count="1">
            <x v="2"/>
          </reference>
          <reference field="0" count="1" selected="0">
            <x v="2"/>
          </reference>
        </references>
      </pivotArea>
    </format>
    <format dxfId="97">
      <pivotArea collapsedLevelsAreSubtotals="1" fieldPosition="0">
        <references count="3">
          <reference field="4294967294" count="1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96">
      <pivotArea collapsedLevelsAreSubtotals="1" fieldPosition="0">
        <references count="3">
          <reference field="4294967294" count="1">
            <x v="1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95">
      <pivotArea collapsedLevelsAreSubtotals="1" fieldPosition="0">
        <references count="3">
          <reference field="4294967294" count="1">
            <x v="2"/>
          </reference>
          <reference field="0" count="1" selected="0">
            <x v="0"/>
          </reference>
          <reference field="3" count="1" selected="0">
            <x v="2"/>
          </reference>
        </references>
      </pivotArea>
    </format>
    <format dxfId="94">
      <pivotArea collapsedLevelsAreSubtotals="1" fieldPosition="0">
        <references count="3">
          <reference field="4294967294" count="1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93">
      <pivotArea collapsedLevelsAreSubtotals="1" fieldPosition="0">
        <references count="3">
          <reference field="4294967294" count="1">
            <x v="1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92">
      <pivotArea collapsedLevelsAreSubtotals="1" fieldPosition="0">
        <references count="3">
          <reference field="4294967294" count="1">
            <x v="2"/>
          </reference>
          <reference field="0" count="1" selected="0">
            <x v="1"/>
          </reference>
          <reference field="3" count="1" selected="0">
            <x v="2"/>
          </reference>
        </references>
      </pivotArea>
    </format>
    <format dxfId="91">
      <pivotArea collapsedLevelsAreSubtotals="1" fieldPosition="0">
        <references count="3">
          <reference field="4294967294" count="1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90">
      <pivotArea collapsedLevelsAreSubtotals="1" fieldPosition="0">
        <references count="3">
          <reference field="4294967294" count="1">
            <x v="1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89">
      <pivotArea collapsedLevelsAreSubtotals="1" fieldPosition="0">
        <references count="3">
          <reference field="4294967294" count="1">
            <x v="2"/>
          </reference>
          <reference field="0" count="1" selected="0">
            <x v="2"/>
          </reference>
          <reference field="3" count="1" selected="0">
            <x v="2"/>
          </reference>
        </references>
      </pivotArea>
    </format>
    <format dxfId="88">
      <pivotArea collapsedLevelsAreSubtotals="1" fieldPosition="0">
        <references count="1">
          <reference field="0" count="1">
            <x v="1"/>
          </reference>
        </references>
      </pivotArea>
    </format>
    <format dxfId="87">
      <pivotArea collapsedLevelsAreSubtotals="1" fieldPosition="0">
        <references count="1">
          <reference field="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8D15E-B677-4B1C-A009-F64668EBDA05}" name="PivotTable1" cacheId="2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5" firstHeaderRow="1" firstDataRow="2" firstDataCol="1"/>
  <pivotFields count="56">
    <pivotField axis="axisRow" showAll="0">
      <items count="7">
        <item x="0"/>
        <item m="1" x="3"/>
        <item x="1"/>
        <item m="1" x="4"/>
        <item m="1" x="5"/>
        <item x="2"/>
        <item t="default"/>
      </items>
    </pivotField>
    <pivotField axis="axisRow" showAll="0">
      <items count="17">
        <item m="1" x="14"/>
        <item m="1" x="11"/>
        <item m="1" x="15"/>
        <item m="1" x="13"/>
        <item x="5"/>
        <item m="1" x="10"/>
        <item m="1" x="12"/>
        <item m="1" x="6"/>
        <item m="1" x="7"/>
        <item m="1" x="9"/>
        <item m="1" x="8"/>
        <item x="4"/>
        <item x="0"/>
        <item x="2"/>
        <item x="1"/>
        <item x="3"/>
        <item t="default"/>
      </items>
    </pivotField>
    <pivotField showAll="0"/>
    <pivotField axis="axisCol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-2"/>
    <field x="1"/>
  </rowFields>
  <rowItems count="81">
    <i>
      <x/>
    </i>
    <i r="1">
      <x/>
    </i>
    <i r="2">
      <x v="12"/>
    </i>
    <i r="2">
      <x v="13"/>
    </i>
    <i r="2">
      <x v="14"/>
    </i>
    <i r="2">
      <x v="15"/>
    </i>
    <i r="1" i="1">
      <x v="1"/>
    </i>
    <i r="2" i="1">
      <x v="12"/>
    </i>
    <i r="2" i="1">
      <x v="13"/>
    </i>
    <i r="2" i="1">
      <x v="14"/>
    </i>
    <i r="2" i="1">
      <x v="15"/>
    </i>
    <i r="1" i="2">
      <x v="2"/>
    </i>
    <i r="2" i="2">
      <x v="12"/>
    </i>
    <i r="2" i="2">
      <x v="13"/>
    </i>
    <i r="2" i="2">
      <x v="14"/>
    </i>
    <i r="2" i="2">
      <x v="15"/>
    </i>
    <i r="1" i="3">
      <x v="3"/>
    </i>
    <i r="2" i="3">
      <x v="12"/>
    </i>
    <i r="2" i="3">
      <x v="13"/>
    </i>
    <i r="2" i="3">
      <x v="14"/>
    </i>
    <i r="2" i="3">
      <x v="15"/>
    </i>
    <i r="1" i="4">
      <x v="4"/>
    </i>
    <i r="2" i="4">
      <x v="12"/>
    </i>
    <i r="2" i="4">
      <x v="13"/>
    </i>
    <i r="2" i="4">
      <x v="14"/>
    </i>
    <i r="2" i="4">
      <x v="15"/>
    </i>
    <i r="1" i="5">
      <x v="5"/>
    </i>
    <i r="2" i="5">
      <x v="12"/>
    </i>
    <i r="2" i="5">
      <x v="13"/>
    </i>
    <i r="2" i="5">
      <x v="14"/>
    </i>
    <i r="2" i="5">
      <x v="15"/>
    </i>
    <i t="default">
      <x/>
    </i>
    <i t="default" i="1">
      <x/>
    </i>
    <i t="default" i="2">
      <x/>
    </i>
    <i t="default" i="3">
      <x/>
    </i>
    <i t="default" i="4">
      <x/>
    </i>
    <i t="default" i="5">
      <x/>
    </i>
    <i>
      <x v="2"/>
    </i>
    <i r="1">
      <x/>
    </i>
    <i r="2">
      <x v="11"/>
    </i>
    <i r="1" i="1">
      <x v="1"/>
    </i>
    <i r="2" i="1">
      <x v="11"/>
    </i>
    <i r="1" i="2">
      <x v="2"/>
    </i>
    <i r="2" i="2">
      <x v="11"/>
    </i>
    <i r="1" i="3">
      <x v="3"/>
    </i>
    <i r="2" i="3">
      <x v="11"/>
    </i>
    <i r="1" i="4">
      <x v="4"/>
    </i>
    <i r="2" i="4">
      <x v="11"/>
    </i>
    <i r="1" i="5">
      <x v="5"/>
    </i>
    <i r="2" i="5">
      <x v="11"/>
    </i>
    <i t="default">
      <x v="2"/>
    </i>
    <i t="default" i="1">
      <x v="2"/>
    </i>
    <i t="default" i="2">
      <x v="2"/>
    </i>
    <i t="default" i="3">
      <x v="2"/>
    </i>
    <i t="default" i="4">
      <x v="2"/>
    </i>
    <i t="default" i="5">
      <x v="2"/>
    </i>
    <i>
      <x v="5"/>
    </i>
    <i r="1">
      <x/>
    </i>
    <i r="2">
      <x v="4"/>
    </i>
    <i r="1" i="1">
      <x v="1"/>
    </i>
    <i r="2" i="1">
      <x v="4"/>
    </i>
    <i r="1" i="2">
      <x v="2"/>
    </i>
    <i r="2" i="2">
      <x v="4"/>
    </i>
    <i r="1" i="3">
      <x v="3"/>
    </i>
    <i r="2" i="3">
      <x v="4"/>
    </i>
    <i r="1" i="4">
      <x v="4"/>
    </i>
    <i r="2" i="4">
      <x v="4"/>
    </i>
    <i r="1" i="5">
      <x v="5"/>
    </i>
    <i r="2" i="5">
      <x v="4"/>
    </i>
    <i t="default">
      <x v="5"/>
    </i>
    <i t="default" i="1">
      <x v="5"/>
    </i>
    <i t="default" i="2">
      <x v="5"/>
    </i>
    <i t="default" i="3">
      <x v="5"/>
    </i>
    <i t="default" i="4">
      <x v="5"/>
    </i>
    <i t="default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6">
    <dataField name="Sum of slack_reserve_up_uc_MWh" fld="31" baseField="0" baseItem="0"/>
    <dataField name="Sum of slack_reserve_down_uc_MWh" fld="26" baseField="0" baseItem="0"/>
    <dataField name="Sum of required_reserve_down_uc_MWh" fld="20" baseField="0" baseItem="0"/>
    <dataField name="Sum of required_reserve_up_uc_MWh" fld="23" baseField="0" baseItem="0"/>
    <dataField name="Sum of reserve_up_uc_MWh" fld="32" baseField="0" baseItem="0"/>
    <dataField name="Sum of reserve_down_uc_MWh" fld="4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49F5D-F1CF-4EAB-911D-D72370852858}" name="PivotTable1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O3" firstHeaderRow="0" firstDataRow="1" firstDataCol="1" rowPageCount="1" colPageCount="1"/>
  <pivotFields count="56">
    <pivotField axis="axisRow" showAll="0" defaultSubtotal="0">
      <items count="6">
        <item x="0"/>
        <item m="1" x="3"/>
        <item x="1"/>
        <item m="1" x="4"/>
        <item m="1" x="5"/>
        <item x="2"/>
      </items>
    </pivotField>
    <pivotField axis="axisPage" multipleItemSelectionAllowed="1" showAll="0" defaultSubtotal="0">
      <items count="16">
        <item h="1" m="1" x="11"/>
        <item m="1" x="14"/>
        <item h="1" m="1" x="13"/>
        <item m="1" x="15"/>
        <item h="1" x="5"/>
        <item m="1" x="10"/>
        <item m="1" x="12"/>
        <item h="1" m="1" x="6"/>
        <item h="1" m="1" x="7"/>
        <item h="1" m="1" x="9"/>
        <item h="1" m="1" x="8"/>
        <item h="1" x="4"/>
        <item h="1" x="0"/>
        <item h="1" x="2"/>
        <item h="1" x="1"/>
        <item h="1" x="3"/>
      </items>
    </pivotField>
    <pivotField showAll="0" defaultSubtotal="0"/>
    <pivotField axis="axisRow" showAll="0" defaultSubtotal="0">
      <items count="5">
        <item x="1"/>
        <item x="2"/>
        <item x="0"/>
        <item x="4"/>
        <item x="3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numFmtId="11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3"/>
    <field x="0"/>
  </rowField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1" hier="-1"/>
  </pageFields>
  <dataFields count="14">
    <dataField name="Sum of OPEX_uc" fld="42" baseField="0" baseItem="0"/>
    <dataField name="Sum of OV_uc" fld="4" baseField="0" baseItem="0"/>
    <dataField name="Sum of EOV" fld="14" baseField="0" baseItem="0"/>
    <dataField name="Sum of EENS_cost" fld="12" baseField="0" baseItem="0"/>
    <dataField name="Sum of E_start_cost" fld="30" baseField="0" baseItem="0"/>
    <dataField name="Sum of E_production_cost" fld="19" baseField="0" baseItem="0"/>
    <dataField name="Sum of E_fixed_cost" fld="5" baseField="0" baseItem="0"/>
    <dataField name="Sum of EOPEX" fld="37" baseField="0" baseItem="0"/>
    <dataField name="Sum of CURE" fld="35" baseField="0" baseItem="0"/>
    <dataField name="Sum of EENS" fld="39" baseField="0" baseItem="0"/>
    <dataField name="Sum of ELGEN_cost" fld="27" baseField="0" baseItem="0" numFmtId="11"/>
    <dataField name="Sum of slack_reserve_down_cost_uc" fld="24" baseField="0" baseItem="0"/>
    <dataField name="Sum of slack_energy_reserve_up_cost_uc" fld="49" baseField="0" baseItem="0"/>
    <dataField name="Sum of ELGEN" fld="36" baseField="0" baseItem="0" numFmtId="11"/>
  </dataFields>
  <formats count="1">
    <format dxfId="8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2CD79-493D-486A-920A-12DBD9EAB27F}" name="Table1" displayName="Table1" ref="A3:AS4" totalsRowShown="0">
  <autoFilter ref="A3:AS4" xr:uid="{13D2CD79-493D-486A-920A-12DBD9EAB27F}"/>
  <tableColumns count="45">
    <tableColumn id="1" xr3:uid="{7A6C9F58-1195-4AED-A65D-75CA53108D2E}" name="model_type"/>
    <tableColumn id="2" xr3:uid="{6BEE12E2-EDD5-43C8-96CF-2465EA0BA340}" name="solution_id"/>
    <tableColumn id="3" xr3:uid="{E9901CA0-BC9D-492E-BE24-EC483790AA16}" name="configuration"/>
    <tableColumn id="4" xr3:uid="{22511128-E265-42B1-8048-77E185CFC0DA}" name="day"/>
    <tableColumn id="5" xr3:uid="{116FD540-B8E6-44CC-BD5F-FCB48137E455}" name="OV_uc"/>
    <tableColumn id="6" xr3:uid="{4E25352C-5ECC-48C5-AF1F-C44A94867609}" name="E_fixed_cost"/>
    <tableColumn id="7" xr3:uid="{10F2C606-9392-46F4-83E9-5D8067EAF3BC}" name="E_storage_discharge_MWh"/>
    <tableColumn id="8" xr3:uid="{A93C17F2-A9A2-430E-8DD4-83D84C5901FF}" name="reserve_cost_uc"/>
    <tableColumn id="9" xr3:uid="{E75FB615-C66C-47C9-B796-B71830808A38}" name="E_storage_charge_MWh"/>
    <tableColumn id="10" xr3:uid="{2B2B8BC3-91F9-412D-856D-26DD98693C65}" name="SOE_0_MWh"/>
    <tableColumn id="11" xr3:uid="{F5A7BC1C-659A-4C5A-A37B-0021E5BC3E2E}" name="E_avg_marginal_energy_price_MU_MWh"/>
    <tableColumn id="12" xr3:uid="{234A1CE9-833E-4468-AB71-D69B7232EA5A}" name="E_input_RES_production_MWh"/>
    <tableColumn id="13" xr3:uid="{56EEF8B1-5768-4A4C-AA72-8E7DD9F255BE}" name="EENS_cost"/>
    <tableColumn id="14" xr3:uid="{EA05B9AD-5BC1-46F6-82E1-6526532D8A01}" name="E_net_SOE_MWh"/>
    <tableColumn id="15" xr3:uid="{8B403355-5921-4696-88E5-D5827CD243F0}" name="EOV"/>
    <tableColumn id="16" xr3:uid="{33774E4E-338C-46CE-9530-EA4B7AAA57D2}" name="E_thermal_production_MWh"/>
    <tableColumn id="17" xr3:uid="{90064C27-8F58-464B-A32A-220896F8AA95}" name="E_SOE_T_MWh"/>
    <tableColumn id="18" xr3:uid="{9D95E5D5-4823-472D-8603-3B27AFAAB7A5}" name="avg_marginal_reserve_up_price_uc_MU_MWh"/>
    <tableColumn id="19" xr3:uid="{E180E498-5E3A-4303-A104-794C1ACB03F6}" name="E_storage_net_charge_MWh"/>
    <tableColumn id="20" xr3:uid="{DF699FBC-6F0A-4F54-96C5-5C0AF2750D42}" name="E_production_cost"/>
    <tableColumn id="21" xr3:uid="{F520D7E1-2A7E-4594-B023-9DC24D0E3FA8}" name="avg_marginal_reserve_down_price_uc_MU_MWh"/>
    <tableColumn id="22" xr3:uid="{C9CB7188-A157-465A-8E0B-C26B1B207797}" name="avg_marginal_energy_price_uc_MU_MWh"/>
    <tableColumn id="23" xr3:uid="{631670A8-471C-4A4E-A0E2-6462C9DA18B0}" name="slack_reserve_down_cost_uc"/>
    <tableColumn id="24" xr3:uid="{AAECBE26-7C09-4257-86FC-742784F56DD3}" name="E_redispatch_cost"/>
    <tableColumn id="25" xr3:uid="{FAFD240D-D60A-447D-A080-A2EF3EF18201}" name="slack_reserve_down_uc_MWh"/>
    <tableColumn id="26" xr3:uid="{EAEFB1F6-D6A6-4103-8030-7548ACBCE11E}" name="ELGEN_cost"/>
    <tableColumn id="27" xr3:uid="{47CECE5E-C838-451B-AD5A-64DBF09C120B}" name="ECUR"/>
    <tableColumn id="28" xr3:uid="{C0137A54-C408-4F1F-9616-39BFF2D593DC}" name="LOLE"/>
    <tableColumn id="29" xr3:uid="{CF88448F-F457-440A-93A1-8053FF831179}" name="E_start_cost"/>
    <tableColumn id="30" xr3:uid="{5A503E5D-0B59-4C32-B19B-4A0F34454737}" name="slack_reserve_up_uc_MWh"/>
    <tableColumn id="31" xr3:uid="{84259890-21E7-4201-A999-714EFE9A5044}" name="reserve_up_uc_MWh"/>
    <tableColumn id="32" xr3:uid="{06557270-FA63-49FC-B260-CA270BFFA095}" name="E_nonRES_nonThermal_production_MWh"/>
    <tableColumn id="33" xr3:uid="{8D628DBE-E92C-42D8-A124-65F25F995DE0}" name="input_load_uc_MWh"/>
    <tableColumn id="34" xr3:uid="{D4CF706B-1AFF-47C3-916C-B86AD2F6586C}" name="CURE"/>
    <tableColumn id="35" xr3:uid="{2CAA3AB3-01F7-4741-89E3-5FF64D877A73}" name="ELGEN"/>
    <tableColumn id="36" xr3:uid="{5BE3D834-CC38-4051-A423-A8406FDD2CCA}" name="EOPEX"/>
    <tableColumn id="37" xr3:uid="{65B78481-AE15-4F3C-8AD3-869AF9A13FF8}" name="slack_reserve_up_cost_uc"/>
    <tableColumn id="38" xr3:uid="{1689B2B1-4EFB-4CDB-89B9-17A3A1D4965D}" name="EENS"/>
    <tableColumn id="39" xr3:uid="{387F8AAA-45C2-4D7E-8E46-B44E9DB66557}" name="reserve_down_uc_MWh"/>
    <tableColumn id="40" xr3:uid="{AA2761C7-E595-43F5-B803-22230AF2B444}" name="E_input_load_MWh"/>
    <tableColumn id="41" xr3:uid="{F3BA9E60-18B5-4BFE-9674-AC91EFF78672}" name="OPEX_uc"/>
    <tableColumn id="42" xr3:uid="{AD55715B-7DD2-4ED9-93FC-AF430B470587}" name="mu"/>
    <tableColumn id="43" xr3:uid="{489A2E0B-2F75-40B1-A184-772B25C0E848}" name="E_slack_reserve_up_cost"/>
    <tableColumn id="44" xr3:uid="{42B19A01-6E62-4493-83F4-1F206F541DA8}" name="E_reserve_cost"/>
    <tableColumn id="45" xr3:uid="{ACC829E5-66EF-4737-84FD-5757773A5F41}" name="avg_marginal_energy_reserve_down_price_uc_MU_MW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1C0B-55D1-4961-9525-1B363B864BA4}">
  <dimension ref="A1:AS4"/>
  <sheetViews>
    <sheetView topLeftCell="L1" workbookViewId="0">
      <selection activeCell="S25" sqref="S25"/>
    </sheetView>
  </sheetViews>
  <sheetFormatPr defaultRowHeight="15" x14ac:dyDescent="0.25"/>
  <cols>
    <col min="1" max="1" width="13.85546875" bestFit="1" customWidth="1"/>
    <col min="2" max="2" width="15.140625" bestFit="1" customWidth="1"/>
    <col min="3" max="3" width="44.85546875" bestFit="1" customWidth="1"/>
    <col min="4" max="5" width="9.28515625" bestFit="1" customWidth="1"/>
    <col min="6" max="6" width="14.5703125" bestFit="1" customWidth="1"/>
    <col min="7" max="7" width="27.42578125" bestFit="1" customWidth="1"/>
    <col min="8" max="8" width="18" bestFit="1" customWidth="1"/>
    <col min="9" max="9" width="24.7109375" bestFit="1" customWidth="1"/>
    <col min="10" max="10" width="14.28515625" bestFit="1" customWidth="1"/>
    <col min="11" max="11" width="39.28515625" bestFit="1" customWidth="1"/>
    <col min="12" max="12" width="31.140625" bestFit="1" customWidth="1"/>
    <col min="13" max="13" width="12.85546875" bestFit="1" customWidth="1"/>
    <col min="14" max="14" width="18.42578125" bestFit="1" customWidth="1"/>
    <col min="15" max="15" width="9.28515625" bestFit="1" customWidth="1"/>
    <col min="16" max="16" width="29" bestFit="1" customWidth="1"/>
    <col min="17" max="17" width="16.42578125" bestFit="1" customWidth="1"/>
    <col min="18" max="18" width="44.42578125" bestFit="1" customWidth="1"/>
    <col min="19" max="19" width="28.7109375" bestFit="1" customWidth="1"/>
    <col min="20" max="20" width="20.140625" bestFit="1" customWidth="1"/>
    <col min="21" max="21" width="47" bestFit="1" customWidth="1"/>
    <col min="22" max="22" width="40.42578125" bestFit="1" customWidth="1"/>
    <col min="23" max="23" width="29.5703125" bestFit="1" customWidth="1"/>
    <col min="24" max="24" width="19.85546875" bestFit="1" customWidth="1"/>
    <col min="25" max="25" width="30.28515625" bestFit="1" customWidth="1"/>
    <col min="26" max="26" width="14.140625" bestFit="1" customWidth="1"/>
    <col min="27" max="28" width="9.28515625" bestFit="1" customWidth="1"/>
    <col min="29" max="29" width="14.140625" bestFit="1" customWidth="1"/>
    <col min="30" max="30" width="27.5703125" bestFit="1" customWidth="1"/>
    <col min="31" max="31" width="22" bestFit="1" customWidth="1"/>
    <col min="32" max="32" width="41" bestFit="1" customWidth="1"/>
    <col min="33" max="33" width="21.42578125" bestFit="1" customWidth="1"/>
    <col min="34" max="34" width="9.28515625" bestFit="1" customWidth="1"/>
    <col min="35" max="35" width="12" bestFit="1" customWidth="1"/>
    <col min="36" max="36" width="9.28515625" bestFit="1" customWidth="1"/>
    <col min="37" max="37" width="26.85546875" bestFit="1" customWidth="1"/>
    <col min="38" max="38" width="12" bestFit="1" customWidth="1"/>
    <col min="39" max="39" width="24.7109375" bestFit="1" customWidth="1"/>
    <col min="40" max="40" width="20.42578125" bestFit="1" customWidth="1"/>
    <col min="41" max="41" width="11.140625" bestFit="1" customWidth="1"/>
    <col min="42" max="42" width="9.28515625" bestFit="1" customWidth="1"/>
    <col min="43" max="43" width="25.85546875" bestFit="1" customWidth="1"/>
    <col min="44" max="44" width="17" bestFit="1" customWidth="1"/>
    <col min="45" max="45" width="54.28515625" bestFit="1" customWidth="1"/>
  </cols>
  <sheetData>
    <row r="1" spans="1:45" x14ac:dyDescent="0.25">
      <c r="A1" s="6" t="s">
        <v>77</v>
      </c>
    </row>
    <row r="3" spans="1:4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22</v>
      </c>
      <c r="V3" t="s">
        <v>21</v>
      </c>
      <c r="W3" t="s">
        <v>38</v>
      </c>
      <c r="X3" t="s">
        <v>24</v>
      </c>
      <c r="Y3" t="s">
        <v>52</v>
      </c>
      <c r="Z3" t="s">
        <v>26</v>
      </c>
      <c r="AA3" t="s">
        <v>23</v>
      </c>
      <c r="AB3" t="s">
        <v>25</v>
      </c>
      <c r="AC3" t="s">
        <v>27</v>
      </c>
      <c r="AD3" t="s">
        <v>53</v>
      </c>
      <c r="AE3" t="s">
        <v>54</v>
      </c>
      <c r="AF3" t="s">
        <v>29</v>
      </c>
      <c r="AG3" t="s">
        <v>28</v>
      </c>
      <c r="AH3" t="s">
        <v>30</v>
      </c>
      <c r="AI3" t="s">
        <v>31</v>
      </c>
      <c r="AJ3" t="s">
        <v>33</v>
      </c>
      <c r="AK3" t="s">
        <v>39</v>
      </c>
      <c r="AL3" t="s">
        <v>32</v>
      </c>
      <c r="AM3" t="s">
        <v>55</v>
      </c>
      <c r="AN3" t="s">
        <v>34</v>
      </c>
      <c r="AO3" t="s">
        <v>35</v>
      </c>
      <c r="AP3" t="s">
        <v>36</v>
      </c>
      <c r="AQ3" t="s">
        <v>37</v>
      </c>
      <c r="AR3" t="s">
        <v>7</v>
      </c>
      <c r="AS3" t="s">
        <v>40</v>
      </c>
    </row>
    <row r="4" spans="1:45" x14ac:dyDescent="0.25">
      <c r="A4" t="s">
        <v>43</v>
      </c>
      <c r="B4" t="s">
        <v>68</v>
      </c>
      <c r="C4" t="s">
        <v>46</v>
      </c>
      <c r="D4">
        <v>2</v>
      </c>
      <c r="E4">
        <v>673344.85128516704</v>
      </c>
      <c r="F4">
        <v>0</v>
      </c>
      <c r="G4">
        <v>4992.5386241245897</v>
      </c>
      <c r="H4">
        <v>2.97849290284063E-2</v>
      </c>
      <c r="I4">
        <v>5515.3314970546498</v>
      </c>
      <c r="J4">
        <v>12683.699999999901</v>
      </c>
      <c r="K4">
        <v>-2.5318603995630001E-8</v>
      </c>
      <c r="L4">
        <v>0</v>
      </c>
      <c r="M4">
        <v>1.7284458257179799E-11</v>
      </c>
      <c r="N4">
        <v>-470.25474728677199</v>
      </c>
      <c r="O4">
        <v>673344.85148232896</v>
      </c>
      <c r="Q4">
        <v>12213.4452527132</v>
      </c>
      <c r="R4">
        <v>1.00000039209767E-6</v>
      </c>
      <c r="S4">
        <v>522.792872930062</v>
      </c>
      <c r="T4">
        <v>673344.82169739995</v>
      </c>
      <c r="U4">
        <v>1.00000013588241E-6</v>
      </c>
      <c r="V4">
        <v>22.662999679182199</v>
      </c>
      <c r="W4">
        <v>2.6156322311890101E-12</v>
      </c>
      <c r="X4">
        <v>1.9716241629794199E-4</v>
      </c>
      <c r="Y4">
        <v>8.7187741039633901E-14</v>
      </c>
      <c r="Z4">
        <v>1.7284621497768399E-11</v>
      </c>
      <c r="AA4">
        <v>0</v>
      </c>
      <c r="AB4">
        <v>0</v>
      </c>
      <c r="AC4">
        <v>0</v>
      </c>
      <c r="AD4">
        <v>2.6156321960990702E-16</v>
      </c>
      <c r="AE4">
        <v>14972.6950668646</v>
      </c>
      <c r="AF4">
        <v>42932.7595851855</v>
      </c>
      <c r="AG4">
        <v>42411.584441999898</v>
      </c>
      <c r="AH4">
        <v>0</v>
      </c>
      <c r="AI4">
        <v>5.7615404992561396E-13</v>
      </c>
      <c r="AJ4">
        <v>673344.82169739995</v>
      </c>
      <c r="AK4">
        <v>2.6156321960990799E-12</v>
      </c>
      <c r="AL4">
        <v>1.7284458257179801E-15</v>
      </c>
      <c r="AM4">
        <v>14812.2339615416</v>
      </c>
      <c r="AN4">
        <v>42409.966712255598</v>
      </c>
      <c r="AO4">
        <v>673344.82150024001</v>
      </c>
      <c r="AP4">
        <v>0.48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07DB-C2E9-4422-9A63-A81BAF225E74}">
  <dimension ref="A3:I151"/>
  <sheetViews>
    <sheetView tabSelected="1" topLeftCell="A34" workbookViewId="0">
      <selection activeCell="D44" sqref="D44"/>
    </sheetView>
  </sheetViews>
  <sheetFormatPr defaultRowHeight="15" x14ac:dyDescent="0.25"/>
  <cols>
    <col min="1" max="1" width="45.28515625" bestFit="1" customWidth="1"/>
    <col min="2" max="2" width="16.85546875" bestFit="1" customWidth="1"/>
    <col min="3" max="4" width="12.7109375" bestFit="1" customWidth="1"/>
    <col min="5" max="5" width="7.28515625" bestFit="1" customWidth="1"/>
    <col min="6" max="6" width="12.7109375" bestFit="1" customWidth="1"/>
    <col min="7" max="7" width="34.28515625" bestFit="1" customWidth="1"/>
    <col min="8" max="8" width="12" bestFit="1" customWidth="1"/>
    <col min="9" max="9" width="22.7109375" bestFit="1" customWidth="1"/>
    <col min="10" max="10" width="30.5703125" bestFit="1" customWidth="1"/>
    <col min="11" max="11" width="13.42578125" bestFit="1" customWidth="1"/>
    <col min="12" max="12" width="18.85546875" bestFit="1" customWidth="1"/>
    <col min="13" max="13" width="17.5703125" bestFit="1" customWidth="1"/>
    <col min="14" max="14" width="29.28515625" bestFit="1" customWidth="1"/>
    <col min="15" max="15" width="32.28515625" bestFit="1" customWidth="1"/>
    <col min="16" max="16" width="21.7109375" bestFit="1" customWidth="1"/>
    <col min="17" max="17" width="31.5703125" bestFit="1" customWidth="1"/>
    <col min="18" max="18" width="35" bestFit="1" customWidth="1"/>
    <col min="19" max="19" width="34.28515625" bestFit="1" customWidth="1"/>
    <col min="20" max="20" width="12" bestFit="1" customWidth="1"/>
    <col min="21" max="21" width="22.7109375" bestFit="1" customWidth="1"/>
    <col min="22" max="22" width="30.5703125" bestFit="1" customWidth="1"/>
    <col min="23" max="23" width="13.42578125" bestFit="1" customWidth="1"/>
    <col min="24" max="24" width="18.85546875" bestFit="1" customWidth="1"/>
    <col min="25" max="25" width="17.5703125" bestFit="1" customWidth="1"/>
    <col min="26" max="26" width="29.28515625" bestFit="1" customWidth="1"/>
    <col min="27" max="27" width="32.28515625" bestFit="1" customWidth="1"/>
    <col min="28" max="28" width="21.7109375" bestFit="1" customWidth="1"/>
    <col min="29" max="29" width="31.5703125" bestFit="1" customWidth="1"/>
    <col min="30" max="30" width="35" bestFit="1" customWidth="1"/>
    <col min="31" max="31" width="34.28515625" bestFit="1" customWidth="1"/>
    <col min="32" max="32" width="12" bestFit="1" customWidth="1"/>
    <col min="33" max="33" width="22.7109375" bestFit="1" customWidth="1"/>
    <col min="34" max="34" width="30.5703125" bestFit="1" customWidth="1"/>
    <col min="35" max="35" width="13.42578125" bestFit="1" customWidth="1"/>
    <col min="36" max="36" width="18.85546875" bestFit="1" customWidth="1"/>
    <col min="37" max="37" width="17.5703125" bestFit="1" customWidth="1"/>
    <col min="38" max="38" width="29.28515625" bestFit="1" customWidth="1"/>
    <col min="39" max="39" width="32.28515625" bestFit="1" customWidth="1"/>
    <col min="40" max="40" width="21.7109375" bestFit="1" customWidth="1"/>
    <col min="41" max="41" width="31.5703125" bestFit="1" customWidth="1"/>
    <col min="42" max="42" width="35" bestFit="1" customWidth="1"/>
    <col min="43" max="43" width="34.28515625" bestFit="1" customWidth="1"/>
    <col min="44" max="44" width="12" bestFit="1" customWidth="1"/>
    <col min="45" max="45" width="22.7109375" bestFit="1" customWidth="1"/>
    <col min="46" max="46" width="30.5703125" bestFit="1" customWidth="1"/>
    <col min="47" max="47" width="13.42578125" bestFit="1" customWidth="1"/>
    <col min="48" max="48" width="18.85546875" bestFit="1" customWidth="1"/>
    <col min="49" max="49" width="17.5703125" bestFit="1" customWidth="1"/>
    <col min="50" max="50" width="29.28515625" bestFit="1" customWidth="1"/>
    <col min="51" max="51" width="32.28515625" bestFit="1" customWidth="1"/>
    <col min="52" max="52" width="21.7109375" bestFit="1" customWidth="1"/>
    <col min="53" max="53" width="31.5703125" bestFit="1" customWidth="1"/>
    <col min="54" max="54" width="35" bestFit="1" customWidth="1"/>
    <col min="55" max="55" width="34.28515625" bestFit="1" customWidth="1"/>
    <col min="56" max="56" width="12" bestFit="1" customWidth="1"/>
    <col min="57" max="57" width="22.7109375" bestFit="1" customWidth="1"/>
    <col min="58" max="58" width="30.5703125" bestFit="1" customWidth="1"/>
    <col min="59" max="59" width="13.42578125" bestFit="1" customWidth="1"/>
    <col min="60" max="60" width="18.85546875" bestFit="1" customWidth="1"/>
    <col min="61" max="61" width="17.5703125" bestFit="1" customWidth="1"/>
    <col min="62" max="62" width="29.28515625" bestFit="1" customWidth="1"/>
    <col min="63" max="63" width="32.28515625" bestFit="1" customWidth="1"/>
    <col min="64" max="64" width="21.7109375" bestFit="1" customWidth="1"/>
    <col min="65" max="65" width="31.5703125" bestFit="1" customWidth="1"/>
    <col min="66" max="66" width="35" bestFit="1" customWidth="1"/>
    <col min="67" max="67" width="34.28515625" bestFit="1" customWidth="1"/>
    <col min="68" max="68" width="12" bestFit="1" customWidth="1"/>
    <col min="69" max="69" width="22.7109375" bestFit="1" customWidth="1"/>
    <col min="70" max="70" width="30.5703125" bestFit="1" customWidth="1"/>
    <col min="71" max="71" width="13.42578125" bestFit="1" customWidth="1"/>
    <col min="72" max="72" width="18.85546875" bestFit="1" customWidth="1"/>
    <col min="73" max="73" width="17.5703125" bestFit="1" customWidth="1"/>
    <col min="74" max="74" width="29.28515625" bestFit="1" customWidth="1"/>
    <col min="75" max="75" width="32.28515625" bestFit="1" customWidth="1"/>
    <col min="76" max="76" width="21.7109375" bestFit="1" customWidth="1"/>
    <col min="77" max="77" width="31.5703125" bestFit="1" customWidth="1"/>
    <col min="78" max="78" width="35" bestFit="1" customWidth="1"/>
    <col min="79" max="79" width="34.28515625" bestFit="1" customWidth="1"/>
    <col min="80" max="80" width="12" bestFit="1" customWidth="1"/>
    <col min="81" max="81" width="22.7109375" bestFit="1" customWidth="1"/>
    <col min="82" max="82" width="30.5703125" bestFit="1" customWidth="1"/>
    <col min="83" max="83" width="13.42578125" bestFit="1" customWidth="1"/>
    <col min="84" max="84" width="18.85546875" bestFit="1" customWidth="1"/>
    <col min="85" max="85" width="17.5703125" bestFit="1" customWidth="1"/>
    <col min="86" max="86" width="29.28515625" bestFit="1" customWidth="1"/>
    <col min="87" max="87" width="32.28515625" bestFit="1" customWidth="1"/>
    <col min="88" max="88" width="21.7109375" bestFit="1" customWidth="1"/>
    <col min="89" max="89" width="31.5703125" bestFit="1" customWidth="1"/>
    <col min="90" max="90" width="35" bestFit="1" customWidth="1"/>
    <col min="91" max="91" width="34.28515625" bestFit="1" customWidth="1"/>
    <col min="92" max="92" width="12" bestFit="1" customWidth="1"/>
    <col min="93" max="93" width="22.7109375" bestFit="1" customWidth="1"/>
    <col min="94" max="94" width="30.5703125" bestFit="1" customWidth="1"/>
    <col min="95" max="95" width="13.42578125" bestFit="1" customWidth="1"/>
    <col min="96" max="96" width="18.85546875" bestFit="1" customWidth="1"/>
    <col min="97" max="97" width="17.5703125" bestFit="1" customWidth="1"/>
    <col min="98" max="98" width="29.28515625" bestFit="1" customWidth="1"/>
    <col min="99" max="99" width="32.28515625" bestFit="1" customWidth="1"/>
    <col min="100" max="100" width="21.7109375" bestFit="1" customWidth="1"/>
    <col min="101" max="101" width="31.5703125" bestFit="1" customWidth="1"/>
    <col min="102" max="102" width="35" bestFit="1" customWidth="1"/>
    <col min="103" max="103" width="34.28515625" bestFit="1" customWidth="1"/>
    <col min="104" max="104" width="12" bestFit="1" customWidth="1"/>
    <col min="105" max="105" width="22.7109375" bestFit="1" customWidth="1"/>
    <col min="106" max="106" width="30.5703125" bestFit="1" customWidth="1"/>
    <col min="107" max="107" width="13.42578125" bestFit="1" customWidth="1"/>
    <col min="108" max="108" width="18.85546875" bestFit="1" customWidth="1"/>
    <col min="109" max="109" width="17.5703125" bestFit="1" customWidth="1"/>
    <col min="110" max="110" width="29.28515625" bestFit="1" customWidth="1"/>
    <col min="111" max="111" width="32.28515625" bestFit="1" customWidth="1"/>
    <col min="112" max="112" width="21.7109375" bestFit="1" customWidth="1"/>
    <col min="113" max="113" width="31.5703125" bestFit="1" customWidth="1"/>
    <col min="114" max="114" width="35" bestFit="1" customWidth="1"/>
    <col min="115" max="115" width="34.28515625" bestFit="1" customWidth="1"/>
    <col min="116" max="116" width="11.42578125" bestFit="1" customWidth="1"/>
    <col min="117" max="117" width="22.7109375" bestFit="1" customWidth="1"/>
    <col min="118" max="118" width="30.5703125" bestFit="1" customWidth="1"/>
    <col min="119" max="119" width="13.42578125" bestFit="1" customWidth="1"/>
    <col min="120" max="120" width="18.85546875" bestFit="1" customWidth="1"/>
    <col min="121" max="121" width="17.5703125" bestFit="1" customWidth="1"/>
    <col min="122" max="122" width="29.28515625" bestFit="1" customWidth="1"/>
    <col min="123" max="123" width="32.28515625" bestFit="1" customWidth="1"/>
    <col min="124" max="124" width="21.7109375" bestFit="1" customWidth="1"/>
    <col min="125" max="125" width="31.5703125" bestFit="1" customWidth="1"/>
    <col min="126" max="126" width="35" bestFit="1" customWidth="1"/>
    <col min="127" max="127" width="34.28515625" bestFit="1" customWidth="1"/>
    <col min="128" max="128" width="12" bestFit="1" customWidth="1"/>
    <col min="129" max="129" width="22.7109375" bestFit="1" customWidth="1"/>
    <col min="130" max="130" width="30.5703125" bestFit="1" customWidth="1"/>
    <col min="131" max="131" width="13.42578125" bestFit="1" customWidth="1"/>
    <col min="132" max="132" width="18.85546875" bestFit="1" customWidth="1"/>
    <col min="133" max="133" width="17.5703125" bestFit="1" customWidth="1"/>
    <col min="134" max="134" width="29.28515625" bestFit="1" customWidth="1"/>
    <col min="135" max="135" width="32.28515625" bestFit="1" customWidth="1"/>
    <col min="136" max="136" width="21.7109375" bestFit="1" customWidth="1"/>
    <col min="137" max="137" width="31.5703125" bestFit="1" customWidth="1"/>
    <col min="138" max="138" width="35" bestFit="1" customWidth="1"/>
    <col min="139" max="139" width="34.28515625" bestFit="1" customWidth="1"/>
    <col min="140" max="140" width="11.42578125" bestFit="1" customWidth="1"/>
    <col min="141" max="141" width="22.7109375" bestFit="1" customWidth="1"/>
    <col min="142" max="142" width="30.5703125" bestFit="1" customWidth="1"/>
    <col min="143" max="143" width="13.42578125" bestFit="1" customWidth="1"/>
    <col min="144" max="144" width="18.85546875" bestFit="1" customWidth="1"/>
    <col min="145" max="145" width="17.5703125" bestFit="1" customWidth="1"/>
    <col min="146" max="146" width="29.28515625" bestFit="1" customWidth="1"/>
    <col min="147" max="147" width="32.28515625" bestFit="1" customWidth="1"/>
    <col min="148" max="148" width="21.7109375" bestFit="1" customWidth="1"/>
    <col min="149" max="149" width="31.5703125" bestFit="1" customWidth="1"/>
    <col min="150" max="150" width="35" bestFit="1" customWidth="1"/>
    <col min="151" max="151" width="34.28515625" bestFit="1" customWidth="1"/>
    <col min="152" max="152" width="12" bestFit="1" customWidth="1"/>
    <col min="153" max="153" width="22.7109375" bestFit="1" customWidth="1"/>
    <col min="154" max="154" width="30.5703125" bestFit="1" customWidth="1"/>
    <col min="155" max="155" width="13.42578125" bestFit="1" customWidth="1"/>
    <col min="156" max="156" width="18.85546875" bestFit="1" customWidth="1"/>
    <col min="157" max="157" width="17.5703125" bestFit="1" customWidth="1"/>
  </cols>
  <sheetData>
    <row r="3" spans="1:7" x14ac:dyDescent="0.25">
      <c r="B3" s="2" t="s">
        <v>49</v>
      </c>
    </row>
    <row r="4" spans="1:7" x14ac:dyDescent="0.25">
      <c r="A4" s="2" t="s">
        <v>48</v>
      </c>
      <c r="B4">
        <v>1</v>
      </c>
      <c r="C4">
        <v>2</v>
      </c>
      <c r="D4">
        <v>3</v>
      </c>
      <c r="E4" t="s">
        <v>131</v>
      </c>
      <c r="F4">
        <v>4</v>
      </c>
    </row>
    <row r="5" spans="1:7" x14ac:dyDescent="0.25">
      <c r="A5" s="3" t="s">
        <v>44</v>
      </c>
      <c r="B5" s="18"/>
      <c r="C5" s="18"/>
      <c r="D5" s="18"/>
      <c r="E5" s="18"/>
      <c r="F5" s="18"/>
    </row>
    <row r="6" spans="1:7" x14ac:dyDescent="0.25">
      <c r="A6" s="4" t="s">
        <v>74</v>
      </c>
      <c r="B6" s="7"/>
      <c r="C6" s="7"/>
      <c r="D6" s="8"/>
      <c r="E6" s="7"/>
      <c r="F6" s="7"/>
    </row>
    <row r="7" spans="1:7" x14ac:dyDescent="0.25">
      <c r="A7" s="5" t="s">
        <v>141</v>
      </c>
      <c r="B7" s="18"/>
      <c r="C7" s="18"/>
      <c r="D7" s="18">
        <v>1.1937316901588699E-8</v>
      </c>
      <c r="E7" s="18"/>
      <c r="F7" s="18"/>
    </row>
    <row r="8" spans="1:7" x14ac:dyDescent="0.25">
      <c r="A8" s="5" t="s">
        <v>142</v>
      </c>
      <c r="B8" s="18"/>
      <c r="C8" s="18"/>
      <c r="D8" s="18">
        <v>1.17291092154274E-8</v>
      </c>
      <c r="E8" s="18"/>
      <c r="F8" s="18"/>
    </row>
    <row r="9" spans="1:7" x14ac:dyDescent="0.25">
      <c r="A9" s="5" t="s">
        <v>143</v>
      </c>
      <c r="B9" s="18"/>
      <c r="C9" s="18"/>
      <c r="D9" s="18">
        <v>1.1937316901588699E-8</v>
      </c>
      <c r="E9" s="18"/>
      <c r="F9" s="18"/>
      <c r="G9" s="9"/>
    </row>
    <row r="10" spans="1:7" x14ac:dyDescent="0.25">
      <c r="A10" s="5" t="s">
        <v>144</v>
      </c>
      <c r="B10" s="18"/>
      <c r="C10" s="18"/>
      <c r="D10" s="18">
        <v>1.17291092154274E-8</v>
      </c>
      <c r="E10" s="18"/>
      <c r="F10" s="18"/>
    </row>
    <row r="11" spans="1:7" x14ac:dyDescent="0.25">
      <c r="A11" s="4" t="s">
        <v>71</v>
      </c>
      <c r="B11" s="7"/>
      <c r="C11" s="7"/>
      <c r="D11" s="8"/>
      <c r="E11" s="7"/>
      <c r="F11" s="7"/>
    </row>
    <row r="12" spans="1:7" x14ac:dyDescent="0.25">
      <c r="A12" s="5" t="s">
        <v>141</v>
      </c>
      <c r="B12" s="18"/>
      <c r="C12" s="18"/>
      <c r="D12" s="18">
        <v>1.26673735361303E-8</v>
      </c>
      <c r="E12" s="18"/>
      <c r="F12" s="18"/>
    </row>
    <row r="13" spans="1:7" x14ac:dyDescent="0.25">
      <c r="A13" s="5" t="s">
        <v>142</v>
      </c>
      <c r="B13" s="18"/>
      <c r="C13" s="18"/>
      <c r="D13" s="18">
        <v>1.24464245048461E-8</v>
      </c>
      <c r="E13" s="18"/>
      <c r="F13" s="18"/>
    </row>
    <row r="14" spans="1:7" x14ac:dyDescent="0.25">
      <c r="A14" s="5" t="s">
        <v>143</v>
      </c>
      <c r="B14" s="18"/>
      <c r="C14" s="18"/>
      <c r="D14" s="18">
        <v>1.26673735361303E-8</v>
      </c>
      <c r="E14" s="18"/>
      <c r="F14" s="18"/>
    </row>
    <row r="15" spans="1:7" x14ac:dyDescent="0.25">
      <c r="A15" s="5" t="s">
        <v>144</v>
      </c>
      <c r="B15" s="18"/>
      <c r="C15" s="18"/>
      <c r="D15" s="18">
        <v>1.24464245048461E-8</v>
      </c>
      <c r="E15" s="18"/>
      <c r="F15" s="18"/>
    </row>
    <row r="16" spans="1:7" x14ac:dyDescent="0.25">
      <c r="A16" s="4" t="s">
        <v>86</v>
      </c>
      <c r="B16" s="18"/>
      <c r="C16" s="18"/>
      <c r="D16" s="18"/>
      <c r="E16" s="18"/>
      <c r="F16" s="18"/>
    </row>
    <row r="17" spans="1:6" x14ac:dyDescent="0.25">
      <c r="A17" s="5" t="s">
        <v>141</v>
      </c>
      <c r="B17" s="18"/>
      <c r="C17" s="18"/>
      <c r="D17" s="18"/>
      <c r="E17" s="18"/>
      <c r="F17" s="18"/>
    </row>
    <row r="18" spans="1:6" x14ac:dyDescent="0.25">
      <c r="A18" s="5" t="s">
        <v>142</v>
      </c>
      <c r="B18" s="18"/>
      <c r="C18" s="18"/>
      <c r="D18" s="18"/>
      <c r="E18" s="18"/>
      <c r="F18" s="18"/>
    </row>
    <row r="19" spans="1:6" x14ac:dyDescent="0.25">
      <c r="A19" s="5" t="s">
        <v>143</v>
      </c>
      <c r="B19" s="18"/>
      <c r="C19" s="18"/>
      <c r="D19" s="18"/>
      <c r="E19" s="18"/>
      <c r="F19" s="18"/>
    </row>
    <row r="20" spans="1:6" x14ac:dyDescent="0.25">
      <c r="A20" s="5" t="s">
        <v>144</v>
      </c>
      <c r="B20" s="18"/>
      <c r="C20" s="18"/>
      <c r="D20" s="18"/>
      <c r="E20" s="18"/>
      <c r="F20" s="18"/>
    </row>
    <row r="21" spans="1:6" x14ac:dyDescent="0.25">
      <c r="A21" s="4" t="s">
        <v>85</v>
      </c>
      <c r="B21" s="18"/>
      <c r="C21" s="18"/>
      <c r="D21" s="18"/>
      <c r="E21" s="18"/>
      <c r="F21" s="18"/>
    </row>
    <row r="22" spans="1:6" x14ac:dyDescent="0.25">
      <c r="A22" s="5" t="s">
        <v>141</v>
      </c>
      <c r="B22" s="18"/>
      <c r="C22" s="18"/>
      <c r="D22" s="18"/>
      <c r="E22" s="18"/>
      <c r="F22" s="18"/>
    </row>
    <row r="23" spans="1:6" x14ac:dyDescent="0.25">
      <c r="A23" s="5" t="s">
        <v>142</v>
      </c>
      <c r="B23" s="18"/>
      <c r="C23" s="18"/>
      <c r="D23" s="18"/>
      <c r="E23" s="18"/>
      <c r="F23" s="18"/>
    </row>
    <row r="24" spans="1:6" x14ac:dyDescent="0.25">
      <c r="A24" s="5" t="s">
        <v>143</v>
      </c>
      <c r="B24" s="18"/>
      <c r="C24" s="18"/>
      <c r="D24" s="18"/>
      <c r="E24" s="18"/>
      <c r="F24" s="18"/>
    </row>
    <row r="25" spans="1:6" x14ac:dyDescent="0.25">
      <c r="A25" s="5" t="s">
        <v>144</v>
      </c>
      <c r="B25" s="18"/>
      <c r="C25" s="18"/>
      <c r="D25" s="18"/>
      <c r="E25" s="18"/>
      <c r="F25" s="18"/>
    </row>
    <row r="26" spans="1:6" x14ac:dyDescent="0.25">
      <c r="A26" s="4" t="s">
        <v>51</v>
      </c>
      <c r="B26" s="7"/>
      <c r="C26" s="7"/>
      <c r="D26" s="8"/>
      <c r="E26" s="7"/>
      <c r="F26" s="7"/>
    </row>
    <row r="27" spans="1:6" x14ac:dyDescent="0.25">
      <c r="A27" s="5" t="s">
        <v>141</v>
      </c>
      <c r="B27" s="18"/>
      <c r="C27" s="18"/>
      <c r="D27" s="18">
        <v>4.2446220494811698E-2</v>
      </c>
      <c r="E27" s="18"/>
      <c r="F27" s="18"/>
    </row>
    <row r="28" spans="1:6" x14ac:dyDescent="0.25">
      <c r="A28" s="5" t="s">
        <v>142</v>
      </c>
      <c r="B28" s="18"/>
      <c r="C28" s="18"/>
      <c r="D28" s="18">
        <v>4.2446228128279799E-2</v>
      </c>
      <c r="E28" s="18"/>
      <c r="F28" s="18"/>
    </row>
    <row r="29" spans="1:6" x14ac:dyDescent="0.25">
      <c r="A29" s="5" t="s">
        <v>143</v>
      </c>
      <c r="B29" s="18"/>
      <c r="C29" s="18"/>
      <c r="D29" s="18">
        <v>4.2446220494811698E-2</v>
      </c>
      <c r="E29" s="18"/>
      <c r="F29" s="18"/>
    </row>
    <row r="30" spans="1:6" x14ac:dyDescent="0.25">
      <c r="A30" s="5" t="s">
        <v>144</v>
      </c>
      <c r="B30" s="18"/>
      <c r="C30" s="18"/>
      <c r="D30" s="18">
        <v>4.2446228128279799E-2</v>
      </c>
      <c r="E30" s="18"/>
      <c r="F30" s="18"/>
    </row>
    <row r="31" spans="1:6" x14ac:dyDescent="0.25">
      <c r="A31" s="4" t="s">
        <v>87</v>
      </c>
      <c r="B31" s="18"/>
      <c r="C31" s="18"/>
      <c r="D31" s="18"/>
      <c r="E31" s="18"/>
      <c r="F31" s="18"/>
    </row>
    <row r="32" spans="1:6" x14ac:dyDescent="0.25">
      <c r="A32" s="5" t="s">
        <v>141</v>
      </c>
      <c r="B32" s="18"/>
      <c r="C32" s="18"/>
      <c r="D32" s="18"/>
      <c r="E32" s="18"/>
      <c r="F32" s="18"/>
    </row>
    <row r="33" spans="1:9" x14ac:dyDescent="0.25">
      <c r="A33" s="5" t="s">
        <v>142</v>
      </c>
      <c r="B33" s="18"/>
      <c r="C33" s="18"/>
      <c r="D33" s="18"/>
      <c r="E33" s="18"/>
      <c r="F33" s="18"/>
      <c r="G33" s="17" t="e">
        <f>(GETPIVOTDATA("Sum of EOV",$A$3,"model_type","conservative","solution_id","RTS-GMLC_v5.2.2s","day",3)-GETPIVOTDATA("Sum of EOV",$A$3,"model_type","conservative","solution_id","RTS-GMLC_v5.2.2.1z","day",3))/GETPIVOTDATA("Sum of EOV",$A$3,"model_type","conservative","solution_id","RTS-GMLC_v5.2.2.1z","day",3)</f>
        <v>#REF!</v>
      </c>
    </row>
    <row r="34" spans="1:9" x14ac:dyDescent="0.25">
      <c r="A34" s="5" t="s">
        <v>143</v>
      </c>
      <c r="B34" s="18"/>
      <c r="C34" s="18"/>
      <c r="D34" s="18"/>
      <c r="E34" s="18"/>
      <c r="F34" s="18"/>
    </row>
    <row r="35" spans="1:9" x14ac:dyDescent="0.25">
      <c r="A35" s="5" t="s">
        <v>144</v>
      </c>
      <c r="B35" s="18"/>
      <c r="C35" s="18"/>
      <c r="D35" s="18"/>
      <c r="E35" s="18"/>
      <c r="F35" s="18"/>
      <c r="G35" s="17"/>
      <c r="H35" s="1">
        <v>1E-4</v>
      </c>
      <c r="I35" t="b">
        <f>G35&lt;H35</f>
        <v>1</v>
      </c>
    </row>
    <row r="36" spans="1:9" x14ac:dyDescent="0.25">
      <c r="A36" s="4" t="s">
        <v>50</v>
      </c>
      <c r="B36" s="7"/>
      <c r="C36" s="7"/>
      <c r="D36" s="8"/>
      <c r="E36" s="7"/>
      <c r="F36" s="7"/>
      <c r="G36" t="e">
        <f>-(GETPIVOTDATA("Sum of OV_uc",$A$3,"model_type","conservative","solution_id","RTS-GMLC_v5.2.2.3z","day",3)-GETPIVOTDATA("Sum of OV_uc",$A$3,"model_type","conservative","solution_id","RTS-GMLC_v5.2.2s","day",3))/GETPIVOTDATA("Sum of OV_uc",$A$3,"model_type","conservative","solution_id","RTS-GMLC_v5.2.2.3z","day",3)</f>
        <v>#REF!</v>
      </c>
      <c r="I36" t="e">
        <f>G36&lt;H35</f>
        <v>#REF!</v>
      </c>
    </row>
    <row r="37" spans="1:9" x14ac:dyDescent="0.25">
      <c r="A37" s="5" t="s">
        <v>141</v>
      </c>
      <c r="B37" s="18"/>
      <c r="C37" s="18"/>
      <c r="D37" s="18">
        <v>458389.33884914703</v>
      </c>
      <c r="E37" s="18"/>
      <c r="F37" s="18"/>
    </row>
    <row r="38" spans="1:9" x14ac:dyDescent="0.25">
      <c r="A38" s="5" t="s">
        <v>142</v>
      </c>
      <c r="B38" s="18"/>
      <c r="C38" s="18"/>
      <c r="D38" s="18">
        <v>458327.21166575397</v>
      </c>
      <c r="E38" s="18"/>
      <c r="F38" s="18"/>
    </row>
    <row r="39" spans="1:9" x14ac:dyDescent="0.25">
      <c r="A39" s="5" t="s">
        <v>143</v>
      </c>
      <c r="B39" s="18"/>
      <c r="C39" s="18"/>
      <c r="D39" s="18">
        <v>458389.33884914703</v>
      </c>
      <c r="E39" s="18"/>
      <c r="F39" s="18"/>
    </row>
    <row r="40" spans="1:9" x14ac:dyDescent="0.25">
      <c r="A40" s="5" t="s">
        <v>144</v>
      </c>
      <c r="B40" s="18"/>
      <c r="C40" s="18"/>
      <c r="D40" s="18">
        <v>458327.21166575397</v>
      </c>
      <c r="E40" s="18"/>
      <c r="F40" s="18"/>
    </row>
    <row r="41" spans="1:9" x14ac:dyDescent="0.25">
      <c r="A41" s="4" t="s">
        <v>69</v>
      </c>
      <c r="B41" s="7"/>
      <c r="C41" s="7"/>
      <c r="D41" s="8"/>
      <c r="E41" s="7"/>
      <c r="F41" s="7"/>
    </row>
    <row r="42" spans="1:9" x14ac:dyDescent="0.25">
      <c r="A42" s="5" t="s">
        <v>141</v>
      </c>
      <c r="B42" s="18"/>
      <c r="C42" s="18"/>
      <c r="D42" s="18">
        <v>580077.96514476696</v>
      </c>
      <c r="E42" s="18"/>
      <c r="F42" s="18"/>
    </row>
    <row r="43" spans="1:9" x14ac:dyDescent="0.25">
      <c r="A43" s="5" t="s">
        <v>142</v>
      </c>
      <c r="B43" s="18"/>
      <c r="C43" s="18"/>
      <c r="D43" s="18">
        <v>580563.56082947506</v>
      </c>
      <c r="E43" s="18"/>
      <c r="F43" s="18"/>
    </row>
    <row r="44" spans="1:9" x14ac:dyDescent="0.25">
      <c r="A44" s="5" t="s">
        <v>143</v>
      </c>
      <c r="B44" s="18"/>
      <c r="C44" s="18"/>
      <c r="D44" s="18">
        <v>580077.96514476696</v>
      </c>
      <c r="E44" s="18"/>
      <c r="F44" s="18"/>
      <c r="G44" t="e">
        <f>GETPIVOTDATA("Sum of EOV",$A$3,"model_type","conservative","solution_id","RTS-GMLC_v3.1.1s","day",3)-GETPIVOTDATA("Sum of EOV",$A$3,"model_type","conservative","solution_id","RTS-GMLC_v3.2s","day",3)</f>
        <v>#REF!</v>
      </c>
    </row>
    <row r="45" spans="1:9" x14ac:dyDescent="0.25">
      <c r="A45" s="5" t="s">
        <v>144</v>
      </c>
      <c r="B45" s="18"/>
      <c r="C45" s="18"/>
      <c r="D45" s="18">
        <v>580563.56082947506</v>
      </c>
      <c r="E45" s="18"/>
      <c r="F45" s="18"/>
    </row>
    <row r="46" spans="1:9" x14ac:dyDescent="0.25">
      <c r="A46" s="4" t="s">
        <v>84</v>
      </c>
      <c r="B46" s="18"/>
      <c r="C46" s="18"/>
      <c r="D46" s="8"/>
      <c r="E46" s="18"/>
      <c r="F46" s="18"/>
    </row>
    <row r="47" spans="1:9" x14ac:dyDescent="0.25">
      <c r="A47" s="5" t="s">
        <v>141</v>
      </c>
      <c r="B47" s="18"/>
      <c r="C47" s="18"/>
      <c r="D47" s="18">
        <v>4356.0251823500103</v>
      </c>
      <c r="E47" s="18"/>
      <c r="F47" s="18"/>
      <c r="G47" t="e">
        <f>F47/F48</f>
        <v>#DIV/0!</v>
      </c>
      <c r="H47" s="11" t="e">
        <f>G47*1000000</f>
        <v>#DIV/0!</v>
      </c>
    </row>
    <row r="48" spans="1:9" x14ac:dyDescent="0.25">
      <c r="A48" s="5" t="s">
        <v>142</v>
      </c>
      <c r="B48" s="18"/>
      <c r="C48" s="18"/>
      <c r="D48" s="18">
        <v>4356.0251823500103</v>
      </c>
      <c r="E48" s="18"/>
      <c r="F48" s="18"/>
    </row>
    <row r="49" spans="1:7" x14ac:dyDescent="0.25">
      <c r="A49" s="5" t="s">
        <v>143</v>
      </c>
      <c r="B49" s="18"/>
      <c r="C49" s="18"/>
      <c r="D49" s="18">
        <v>4356.0251823500103</v>
      </c>
      <c r="E49" s="18"/>
      <c r="F49" s="18"/>
    </row>
    <row r="50" spans="1:7" x14ac:dyDescent="0.25">
      <c r="A50" s="5" t="s">
        <v>144</v>
      </c>
      <c r="B50" s="18"/>
      <c r="C50" s="18"/>
      <c r="D50" s="18">
        <v>4356.0251823500103</v>
      </c>
      <c r="E50" s="18"/>
      <c r="F50" s="18"/>
    </row>
    <row r="51" spans="1:7" x14ac:dyDescent="0.25">
      <c r="A51" s="4" t="s">
        <v>82</v>
      </c>
      <c r="B51" s="18"/>
      <c r="C51" s="18"/>
      <c r="D51" s="8"/>
      <c r="E51" s="18"/>
      <c r="F51" s="18"/>
    </row>
    <row r="52" spans="1:7" x14ac:dyDescent="0.25">
      <c r="A52" s="5" t="s">
        <v>141</v>
      </c>
      <c r="B52" s="18"/>
      <c r="C52" s="18"/>
      <c r="D52" s="18">
        <v>0</v>
      </c>
      <c r="E52" s="18"/>
      <c r="F52" s="18"/>
    </row>
    <row r="53" spans="1:7" x14ac:dyDescent="0.25">
      <c r="A53" s="5" t="s">
        <v>142</v>
      </c>
      <c r="B53" s="18"/>
      <c r="C53" s="18"/>
      <c r="D53" s="18">
        <v>0</v>
      </c>
      <c r="E53" s="18"/>
      <c r="F53" s="18"/>
    </row>
    <row r="54" spans="1:7" x14ac:dyDescent="0.25">
      <c r="A54" s="5" t="s">
        <v>143</v>
      </c>
      <c r="B54" s="18"/>
      <c r="C54" s="18"/>
      <c r="D54" s="18">
        <v>0</v>
      </c>
      <c r="E54" s="18"/>
      <c r="F54" s="18"/>
    </row>
    <row r="55" spans="1:7" x14ac:dyDescent="0.25">
      <c r="A55" s="5" t="s">
        <v>144</v>
      </c>
      <c r="B55" s="18"/>
      <c r="C55" s="18"/>
      <c r="D55" s="18">
        <v>0</v>
      </c>
      <c r="E55" s="18"/>
      <c r="F55" s="18"/>
    </row>
    <row r="56" spans="1:7" x14ac:dyDescent="0.25">
      <c r="A56" s="4" t="s">
        <v>83</v>
      </c>
      <c r="B56" s="18"/>
      <c r="C56" s="18"/>
      <c r="D56" s="8"/>
      <c r="E56" s="18"/>
      <c r="F56" s="18"/>
      <c r="G56">
        <f>(GETPIVOTDATA("Sum of OPEX_uc",$A$3,"model_type","conservative","solution_id","RTS-GMLC_v5.2.2.3z","day",3)-GETPIVOTDATA("Sum of OPEX_uc",$A$3,"model_type","conservative","solution_id","RTS-GMLC_v5.2.2.4z","day",3))/GETPIVOTDATA("Sum of OPEX_uc",$A$3,"model_type","conservative","solution_id","RTS-GMLC_v5.2.2.3z","day",3)</f>
        <v>-8.3712147230497196E-4</v>
      </c>
    </row>
    <row r="57" spans="1:7" x14ac:dyDescent="0.25">
      <c r="A57" s="5" t="s">
        <v>141</v>
      </c>
      <c r="B57" s="18"/>
      <c r="C57" s="18"/>
      <c r="D57" s="7">
        <v>454033.27122046897</v>
      </c>
      <c r="E57" s="18"/>
      <c r="F57" s="18"/>
    </row>
    <row r="58" spans="1:7" x14ac:dyDescent="0.25">
      <c r="A58" s="5" t="s">
        <v>142</v>
      </c>
      <c r="B58" s="18"/>
      <c r="C58" s="18"/>
      <c r="D58" s="18">
        <v>453971.14403715701</v>
      </c>
      <c r="E58" s="18"/>
      <c r="F58" s="18"/>
    </row>
    <row r="59" spans="1:7" x14ac:dyDescent="0.25">
      <c r="A59" s="5" t="s">
        <v>143</v>
      </c>
      <c r="B59" s="18"/>
      <c r="C59" s="18"/>
      <c r="D59" s="18">
        <v>454033.27122046897</v>
      </c>
      <c r="E59" s="18"/>
      <c r="F59" s="18"/>
    </row>
    <row r="60" spans="1:7" x14ac:dyDescent="0.25">
      <c r="A60" s="5" t="s">
        <v>144</v>
      </c>
      <c r="B60" s="18"/>
      <c r="C60" s="18"/>
      <c r="D60" s="18">
        <v>453971.14403715701</v>
      </c>
      <c r="E60" s="18"/>
      <c r="F60" s="18"/>
    </row>
    <row r="61" spans="1:7" x14ac:dyDescent="0.25">
      <c r="A61" s="4" t="s">
        <v>80</v>
      </c>
      <c r="B61" s="18"/>
      <c r="C61" s="18"/>
      <c r="D61" s="8"/>
      <c r="E61" s="18"/>
      <c r="F61" s="18"/>
    </row>
    <row r="62" spans="1:7" x14ac:dyDescent="0.25">
      <c r="A62" s="5" t="s">
        <v>141</v>
      </c>
      <c r="B62" s="18"/>
      <c r="C62" s="18"/>
      <c r="D62" s="18">
        <v>458389.29640281998</v>
      </c>
      <c r="E62" s="18"/>
      <c r="F62" s="18"/>
    </row>
    <row r="63" spans="1:7" x14ac:dyDescent="0.25">
      <c r="A63" s="5" t="s">
        <v>142</v>
      </c>
      <c r="B63" s="18"/>
      <c r="C63" s="18"/>
      <c r="D63" s="18">
        <v>458327.16921950801</v>
      </c>
      <c r="E63" s="18"/>
      <c r="F63" s="18"/>
    </row>
    <row r="64" spans="1:7" x14ac:dyDescent="0.25">
      <c r="A64" s="5" t="s">
        <v>143</v>
      </c>
      <c r="B64" s="18"/>
      <c r="C64" s="18"/>
      <c r="D64" s="18">
        <v>458389.29640281998</v>
      </c>
      <c r="E64" s="18"/>
      <c r="F64" s="18"/>
    </row>
    <row r="65" spans="1:7" x14ac:dyDescent="0.25">
      <c r="A65" s="5" t="s">
        <v>144</v>
      </c>
      <c r="B65" s="18"/>
      <c r="C65" s="18"/>
      <c r="D65" s="18">
        <v>458327.16921950801</v>
      </c>
      <c r="E65" s="18"/>
      <c r="F65" s="18"/>
    </row>
    <row r="66" spans="1:7" x14ac:dyDescent="0.25">
      <c r="A66" s="4" t="s">
        <v>81</v>
      </c>
      <c r="B66" s="18"/>
      <c r="C66" s="18"/>
      <c r="D66" s="8"/>
      <c r="E66" s="18"/>
      <c r="F66" s="18"/>
    </row>
    <row r="67" spans="1:7" x14ac:dyDescent="0.25">
      <c r="A67" s="5" t="s">
        <v>141</v>
      </c>
      <c r="B67" s="18"/>
      <c r="C67" s="18"/>
      <c r="D67" s="18">
        <v>580077.92269852001</v>
      </c>
      <c r="E67" s="18"/>
      <c r="F67" s="18"/>
      <c r="G67" s="10"/>
    </row>
    <row r="68" spans="1:7" x14ac:dyDescent="0.25">
      <c r="A68" s="5" t="s">
        <v>142</v>
      </c>
      <c r="B68" s="18"/>
      <c r="C68" s="18"/>
      <c r="D68" s="18">
        <v>580563.518383221</v>
      </c>
      <c r="E68" s="18"/>
      <c r="F68" s="18"/>
    </row>
    <row r="69" spans="1:7" x14ac:dyDescent="0.25">
      <c r="A69" s="5" t="s">
        <v>143</v>
      </c>
      <c r="B69" s="18"/>
      <c r="C69" s="18"/>
      <c r="D69" s="18">
        <v>580077.92269852001</v>
      </c>
      <c r="E69" s="18"/>
      <c r="F69" s="18"/>
    </row>
    <row r="70" spans="1:7" x14ac:dyDescent="0.25">
      <c r="A70" s="5" t="s">
        <v>144</v>
      </c>
      <c r="B70" s="18"/>
      <c r="C70" s="18"/>
      <c r="D70" s="18">
        <v>580563.518383221</v>
      </c>
      <c r="E70" s="18"/>
      <c r="F70" s="18"/>
    </row>
    <row r="71" spans="1:7" x14ac:dyDescent="0.25">
      <c r="A71" s="4" t="s">
        <v>73</v>
      </c>
      <c r="B71" s="7"/>
      <c r="C71" s="7"/>
      <c r="D71" s="8"/>
      <c r="E71" s="7"/>
      <c r="F71" s="7"/>
    </row>
    <row r="72" spans="1:7" x14ac:dyDescent="0.25">
      <c r="A72" s="5" t="s">
        <v>141</v>
      </c>
      <c r="B72" s="18"/>
      <c r="C72" s="18"/>
      <c r="D72" s="18">
        <v>9.98580404388428E-8</v>
      </c>
      <c r="E72" s="18"/>
      <c r="F72" s="18"/>
    </row>
    <row r="73" spans="1:7" x14ac:dyDescent="0.25">
      <c r="A73" s="5" t="s">
        <v>142</v>
      </c>
      <c r="B73" s="18"/>
      <c r="C73" s="18"/>
      <c r="D73" s="18">
        <v>3.9262411449063E-8</v>
      </c>
      <c r="E73" s="18"/>
      <c r="F73" s="18"/>
    </row>
    <row r="74" spans="1:7" x14ac:dyDescent="0.25">
      <c r="A74" s="5" t="s">
        <v>143</v>
      </c>
      <c r="B74" s="18"/>
      <c r="C74" s="18"/>
      <c r="D74" s="18">
        <v>9.98580404388428E-8</v>
      </c>
      <c r="E74" s="18"/>
      <c r="F74" s="18"/>
    </row>
    <row r="75" spans="1:7" x14ac:dyDescent="0.25">
      <c r="A75" s="5" t="s">
        <v>144</v>
      </c>
      <c r="B75" s="18"/>
      <c r="C75" s="18"/>
      <c r="D75" s="18">
        <v>3.9262411449063E-8</v>
      </c>
      <c r="E75" s="18"/>
      <c r="F75" s="18"/>
    </row>
    <row r="76" spans="1:7" x14ac:dyDescent="0.25">
      <c r="A76" s="4" t="s">
        <v>70</v>
      </c>
      <c r="B76" s="7"/>
      <c r="C76" s="7"/>
      <c r="D76" s="8"/>
      <c r="E76" s="7"/>
      <c r="F76" s="7"/>
    </row>
    <row r="77" spans="1:7" x14ac:dyDescent="0.25">
      <c r="A77" s="5" t="s">
        <v>141</v>
      </c>
      <c r="B77" s="18"/>
      <c r="C77" s="18"/>
      <c r="D77" s="18">
        <v>6.3599741324070796E-8</v>
      </c>
      <c r="E77" s="18"/>
      <c r="F77" s="18"/>
    </row>
    <row r="78" spans="1:7" x14ac:dyDescent="0.25">
      <c r="A78" s="5" t="s">
        <v>142</v>
      </c>
      <c r="B78" s="18"/>
      <c r="C78" s="18"/>
      <c r="D78" s="18">
        <v>4.2334725013055302E-8</v>
      </c>
      <c r="E78" s="18"/>
      <c r="F78" s="18"/>
    </row>
    <row r="79" spans="1:7" x14ac:dyDescent="0.25">
      <c r="A79" s="5" t="s">
        <v>143</v>
      </c>
      <c r="B79" s="18"/>
      <c r="C79" s="18"/>
      <c r="D79" s="18">
        <v>6.3599741324070796E-8</v>
      </c>
      <c r="E79" s="18"/>
      <c r="F79" s="18"/>
    </row>
    <row r="80" spans="1:7" x14ac:dyDescent="0.25">
      <c r="A80" s="5" t="s">
        <v>144</v>
      </c>
      <c r="B80" s="18"/>
      <c r="C80" s="18"/>
      <c r="D80" s="18">
        <v>4.2334725013055302E-8</v>
      </c>
      <c r="E80" s="18"/>
      <c r="F80" s="18"/>
    </row>
    <row r="81" spans="1:8" x14ac:dyDescent="0.25">
      <c r="A81" s="4" t="s">
        <v>79</v>
      </c>
      <c r="B81" s="18"/>
      <c r="C81" s="18"/>
      <c r="D81" s="8"/>
      <c r="E81" s="18"/>
      <c r="F81" s="18"/>
    </row>
    <row r="82" spans="1:8" x14ac:dyDescent="0.25">
      <c r="A82" s="5" t="s">
        <v>141</v>
      </c>
      <c r="B82" s="18"/>
      <c r="C82" s="18"/>
      <c r="D82" s="18">
        <v>-121688.626295701</v>
      </c>
      <c r="E82" s="18"/>
      <c r="F82" s="18"/>
    </row>
    <row r="83" spans="1:8" x14ac:dyDescent="0.25">
      <c r="A83" s="5" t="s">
        <v>142</v>
      </c>
      <c r="B83" s="18"/>
      <c r="C83" s="18"/>
      <c r="D83" s="18">
        <v>-122236.349163715</v>
      </c>
      <c r="E83" s="18"/>
      <c r="F83" s="18"/>
    </row>
    <row r="84" spans="1:8" x14ac:dyDescent="0.25">
      <c r="A84" s="5" t="s">
        <v>143</v>
      </c>
      <c r="B84" s="18"/>
      <c r="C84" s="18"/>
      <c r="D84" s="18">
        <v>-121688.626295701</v>
      </c>
      <c r="E84" s="18"/>
      <c r="F84" s="18"/>
    </row>
    <row r="85" spans="1:8" x14ac:dyDescent="0.25">
      <c r="A85" s="5" t="s">
        <v>144</v>
      </c>
      <c r="B85" s="18"/>
      <c r="C85" s="18"/>
      <c r="D85" s="18">
        <v>-122236.349163715</v>
      </c>
      <c r="E85" s="18"/>
      <c r="F85" s="18"/>
    </row>
    <row r="86" spans="1:8" x14ac:dyDescent="0.25">
      <c r="A86" s="3" t="s">
        <v>47</v>
      </c>
      <c r="B86" s="7"/>
      <c r="C86" s="7"/>
      <c r="D86" s="8"/>
      <c r="E86" s="7"/>
      <c r="F86" s="7"/>
      <c r="G86" t="e">
        <f>GETPIVOTDATA("Sum of EOV",$A$3,"model_type","envelope","solution_id","RTS-GMLC_v3.1.1s","day",3)-GETPIVOTDATA("Sum of EOPEX",$A$3,"model_type","envelope","solution_id","RTS-GMLC_v3.1.1s","day",3)-GETPIVOTDATA("Sum of ELGEN_cost",$A$3,"model_type","envelope","solution_id","RTS-GMLC_v3.1.1s","day",3)-GETPIVOTDATA("Sum of EENS_cost",$A$3,"model_type","envelope","solution_id","RTS-GMLC_v3.1.1s","day",3)-GETPIVOTDATA("Sum of slack_reserve_down_cost_uc",$A$3,"model_type","envelope","solution_id","RTS-GMLC_v3.1.1s","day",3)-GETPIVOTDATA("Sum of slack_reserve_up_cost_uc",$A$3,"model_type","envelope","solution_id","RTS-GMLC_v3.1.1s","day",3)</f>
        <v>#REF!</v>
      </c>
    </row>
    <row r="87" spans="1:8" x14ac:dyDescent="0.25">
      <c r="A87" s="4" t="s">
        <v>74</v>
      </c>
      <c r="B87" s="7"/>
      <c r="C87" s="7"/>
      <c r="D87" s="8"/>
      <c r="E87" s="7"/>
      <c r="F87" s="7"/>
      <c r="G87" t="e">
        <f>GETPIVOTDATA("Sum of EOV",$A$3,"model_type","envelope","solution_id","RTS-GMLC_v3.2s","day",3)-GETPIVOTDATA("Sum of ELGEN_cost",$A$3,"model_type","envelope","solution_id","RTS-GMLC_v3.2s","day",3)-GETPIVOTDATA("Sum of EENS_cost",$A$3,"model_type","envelope","solution_id","RTS-GMLC_v3.2s","day",3)-GETPIVOTDATA("Sum of slack_reserve_up_cost_uc",$A$3,"model_type","envelope","solution_id","RTS-GMLC_v3.2s","day",3)-GETPIVOTDATA("Sum of slack_reserve_down_cost_uc",$A$3,"model_type","envelope","solution_id","RTS-GMLC_v3.2s","day",3)</f>
        <v>#REF!</v>
      </c>
      <c r="H87" t="e">
        <f>GETPIVOTDATA("Sum of EOV",$A$3,"model_type","envelope","solution_id","RTS-GMLC_v3.2s","day",1)-GETPIVOTDATA("Sum of EOPEX",$A$3,"model_type","envelope","solution_id","RTS-GMLC_v3.2s","day",1)</f>
        <v>#REF!</v>
      </c>
    </row>
    <row r="88" spans="1:8" x14ac:dyDescent="0.25">
      <c r="A88" s="5" t="s">
        <v>140</v>
      </c>
      <c r="B88" s="18"/>
      <c r="C88" s="18"/>
      <c r="D88" s="18"/>
      <c r="E88" s="18"/>
      <c r="F88" s="18"/>
    </row>
    <row r="89" spans="1:8" x14ac:dyDescent="0.25">
      <c r="A89" s="4" t="s">
        <v>71</v>
      </c>
      <c r="B89" s="7"/>
      <c r="C89" s="7"/>
      <c r="D89" s="8"/>
      <c r="E89" s="7"/>
      <c r="F89" s="7"/>
    </row>
    <row r="90" spans="1:8" x14ac:dyDescent="0.25">
      <c r="A90" s="5" t="s">
        <v>140</v>
      </c>
      <c r="B90" s="18"/>
      <c r="C90" s="18"/>
      <c r="D90" s="18"/>
      <c r="E90" s="18"/>
      <c r="F90" s="18"/>
    </row>
    <row r="91" spans="1:8" x14ac:dyDescent="0.25">
      <c r="A91" s="4" t="s">
        <v>86</v>
      </c>
      <c r="B91" s="18"/>
      <c r="C91" s="18"/>
      <c r="D91" s="18"/>
      <c r="E91" s="18"/>
      <c r="F91" s="18"/>
    </row>
    <row r="92" spans="1:8" x14ac:dyDescent="0.25">
      <c r="A92" s="5" t="s">
        <v>140</v>
      </c>
      <c r="B92" s="18">
        <v>6.04168635976285E-8</v>
      </c>
      <c r="C92" s="18">
        <v>5.7022869192874397E-5</v>
      </c>
      <c r="D92" s="18">
        <v>2.7007718689642802E-6</v>
      </c>
      <c r="E92" s="18"/>
      <c r="F92" s="18">
        <v>3.0863980104117499E-6</v>
      </c>
    </row>
    <row r="93" spans="1:8" x14ac:dyDescent="0.25">
      <c r="A93" s="4" t="s">
        <v>85</v>
      </c>
      <c r="B93" s="18"/>
      <c r="C93" s="18"/>
      <c r="D93" s="18"/>
      <c r="E93" s="18"/>
      <c r="F93" s="18"/>
    </row>
    <row r="94" spans="1:8" x14ac:dyDescent="0.25">
      <c r="A94" s="5" t="s">
        <v>140</v>
      </c>
      <c r="B94" s="18">
        <v>6.0824366254853506E-8</v>
      </c>
      <c r="C94" s="18">
        <v>5.7050040207366602E-5</v>
      </c>
      <c r="D94" s="18">
        <v>3.2874116614042701E-6</v>
      </c>
      <c r="E94" s="18"/>
      <c r="F94" s="18">
        <v>3.11856991425994E-6</v>
      </c>
    </row>
    <row r="95" spans="1:8" x14ac:dyDescent="0.25">
      <c r="A95" s="4" t="s">
        <v>51</v>
      </c>
      <c r="B95" s="7"/>
      <c r="C95" s="7"/>
      <c r="D95" s="8"/>
      <c r="E95" s="7"/>
      <c r="F95" s="7"/>
    </row>
    <row r="96" spans="1:8" x14ac:dyDescent="0.25">
      <c r="A96" s="5" t="s">
        <v>140</v>
      </c>
      <c r="B96" s="18"/>
      <c r="C96" s="18"/>
      <c r="D96" s="18"/>
      <c r="E96" s="18"/>
      <c r="F96" s="18"/>
    </row>
    <row r="97" spans="1:6" x14ac:dyDescent="0.25">
      <c r="A97" s="4" t="s">
        <v>87</v>
      </c>
      <c r="B97" s="18"/>
      <c r="C97" s="18"/>
      <c r="D97" s="18"/>
      <c r="E97" s="18"/>
      <c r="F97" s="18"/>
    </row>
    <row r="98" spans="1:6" x14ac:dyDescent="0.25">
      <c r="A98" s="5" t="s">
        <v>140</v>
      </c>
      <c r="B98" s="18">
        <v>2.6275593845013798</v>
      </c>
      <c r="C98" s="18">
        <v>1.90624303834805</v>
      </c>
      <c r="D98" s="18">
        <v>3.0984596226844201</v>
      </c>
      <c r="E98" s="18"/>
      <c r="F98" s="18">
        <v>2.9784856107635198</v>
      </c>
    </row>
    <row r="99" spans="1:6" x14ac:dyDescent="0.25">
      <c r="A99" s="4" t="s">
        <v>50</v>
      </c>
      <c r="B99" s="7"/>
      <c r="C99" s="7"/>
      <c r="D99" s="8"/>
      <c r="E99" s="7"/>
      <c r="F99" s="7"/>
    </row>
    <row r="100" spans="1:6" x14ac:dyDescent="0.25">
      <c r="A100" s="5" t="s">
        <v>140</v>
      </c>
      <c r="B100" s="18">
        <v>664037.49390323996</v>
      </c>
      <c r="C100" s="18">
        <v>428805.31247381499</v>
      </c>
      <c r="D100" s="18">
        <v>439090.49431806902</v>
      </c>
      <c r="E100" s="18"/>
      <c r="F100" s="18">
        <v>563233.63721966895</v>
      </c>
    </row>
    <row r="101" spans="1:6" x14ac:dyDescent="0.25">
      <c r="A101" s="4" t="s">
        <v>69</v>
      </c>
      <c r="B101" s="7"/>
      <c r="C101" s="7"/>
      <c r="D101" s="8"/>
      <c r="E101" s="7"/>
      <c r="F101" s="7"/>
    </row>
    <row r="102" spans="1:6" x14ac:dyDescent="0.25">
      <c r="A102" s="5" t="s">
        <v>140</v>
      </c>
      <c r="B102" s="18">
        <v>917322.93404850201</v>
      </c>
      <c r="C102" s="18">
        <v>673346.72945215704</v>
      </c>
      <c r="D102" s="18">
        <v>570293.67799001199</v>
      </c>
      <c r="E102" s="18"/>
      <c r="F102" s="18">
        <v>835253.80191126897</v>
      </c>
    </row>
    <row r="103" spans="1:6" x14ac:dyDescent="0.25">
      <c r="A103" s="4" t="s">
        <v>84</v>
      </c>
      <c r="B103" s="18"/>
      <c r="C103" s="18"/>
      <c r="D103" s="8"/>
      <c r="E103" s="18"/>
      <c r="F103" s="18"/>
    </row>
    <row r="104" spans="1:6" x14ac:dyDescent="0.25">
      <c r="A104" s="5" t="s">
        <v>140</v>
      </c>
      <c r="B104" s="18">
        <v>0</v>
      </c>
      <c r="C104" s="18">
        <v>0</v>
      </c>
      <c r="D104" s="18">
        <v>0</v>
      </c>
      <c r="E104" s="18"/>
      <c r="F104" s="18">
        <v>0</v>
      </c>
    </row>
    <row r="105" spans="1:6" x14ac:dyDescent="0.25">
      <c r="A105" s="4" t="s">
        <v>82</v>
      </c>
      <c r="B105" s="18"/>
      <c r="C105" s="18"/>
      <c r="D105" s="8"/>
      <c r="E105" s="18"/>
      <c r="F105" s="18"/>
    </row>
    <row r="106" spans="1:6" x14ac:dyDescent="0.25">
      <c r="A106" s="5" t="s">
        <v>140</v>
      </c>
      <c r="B106" s="18">
        <v>0</v>
      </c>
      <c r="C106" s="18">
        <v>0</v>
      </c>
      <c r="D106" s="18">
        <v>0</v>
      </c>
      <c r="E106" s="18"/>
      <c r="F106" s="18">
        <v>0</v>
      </c>
    </row>
    <row r="107" spans="1:6" x14ac:dyDescent="0.25">
      <c r="A107" s="4" t="s">
        <v>83</v>
      </c>
      <c r="B107" s="18"/>
      <c r="C107" s="18"/>
      <c r="D107" s="8"/>
      <c r="E107" s="18"/>
      <c r="F107" s="18"/>
    </row>
    <row r="108" spans="1:6" x14ac:dyDescent="0.25">
      <c r="A108" s="5" t="s">
        <v>140</v>
      </c>
      <c r="B108" s="18">
        <v>664034.86634491198</v>
      </c>
      <c r="C108" s="18">
        <v>428803.40717261302</v>
      </c>
      <c r="D108" s="18">
        <v>439087.39586121897</v>
      </c>
      <c r="E108" s="18"/>
      <c r="F108" s="18">
        <v>563230.65878548997</v>
      </c>
    </row>
    <row r="109" spans="1:6" x14ac:dyDescent="0.25">
      <c r="A109" s="4" t="s">
        <v>80</v>
      </c>
      <c r="B109" s="18"/>
      <c r="C109" s="18"/>
      <c r="D109" s="8"/>
      <c r="E109" s="18"/>
      <c r="F109" s="18"/>
    </row>
    <row r="110" spans="1:6" x14ac:dyDescent="0.25">
      <c r="A110" s="5" t="s">
        <v>140</v>
      </c>
      <c r="B110" s="18">
        <v>664034.86634491198</v>
      </c>
      <c r="C110" s="18">
        <v>428803.40717261302</v>
      </c>
      <c r="D110" s="18">
        <v>439087.39586121897</v>
      </c>
      <c r="E110" s="18"/>
      <c r="F110" s="18">
        <v>563230.65878548997</v>
      </c>
    </row>
    <row r="111" spans="1:6" x14ac:dyDescent="0.25">
      <c r="A111" s="4" t="s">
        <v>81</v>
      </c>
      <c r="B111" s="18"/>
      <c r="C111" s="18"/>
      <c r="D111" s="8"/>
      <c r="E111" s="18"/>
      <c r="F111" s="18"/>
    </row>
    <row r="112" spans="1:6" x14ac:dyDescent="0.25">
      <c r="A112" s="5" t="s">
        <v>140</v>
      </c>
      <c r="B112" s="18">
        <v>917320.30648899497</v>
      </c>
      <c r="C112" s="18">
        <v>673344.82309504598</v>
      </c>
      <c r="D112" s="18">
        <v>570290.57952439995</v>
      </c>
      <c r="E112" s="18"/>
      <c r="F112" s="18">
        <v>835250.82341945195</v>
      </c>
    </row>
    <row r="113" spans="1:6" x14ac:dyDescent="0.25">
      <c r="A113" s="4" t="s">
        <v>73</v>
      </c>
      <c r="B113" s="7"/>
      <c r="C113" s="7"/>
      <c r="D113" s="8"/>
      <c r="E113" s="7"/>
      <c r="F113" s="7"/>
    </row>
    <row r="114" spans="1:6" x14ac:dyDescent="0.25">
      <c r="A114" s="5" t="s">
        <v>140</v>
      </c>
      <c r="B114" s="18">
        <v>1.7645058488990101E-8</v>
      </c>
      <c r="C114" s="18">
        <v>2.9045970938982299E-8</v>
      </c>
      <c r="D114" s="18">
        <v>1.66687933423487E-7</v>
      </c>
      <c r="E114" s="18"/>
      <c r="F114" s="18">
        <v>5.1849525239601899E-8</v>
      </c>
    </row>
    <row r="115" spans="1:6" x14ac:dyDescent="0.25">
      <c r="A115" s="4" t="s">
        <v>70</v>
      </c>
      <c r="B115" s="7"/>
      <c r="C115" s="7"/>
      <c r="D115" s="8"/>
      <c r="E115" s="7"/>
      <c r="F115" s="7"/>
    </row>
    <row r="116" spans="1:6" x14ac:dyDescent="0.25">
      <c r="A116" s="5" t="s">
        <v>140</v>
      </c>
      <c r="B116" s="18">
        <v>2.5016503057695701E-8</v>
      </c>
      <c r="C116" s="18">
        <v>3.3259463786326399E-8</v>
      </c>
      <c r="D116" s="18">
        <v>1.21444827015584E-7</v>
      </c>
      <c r="E116" s="18"/>
      <c r="F116" s="18">
        <v>6.0290225278208794E-8</v>
      </c>
    </row>
    <row r="117" spans="1:6" x14ac:dyDescent="0.25">
      <c r="A117" s="4" t="s">
        <v>79</v>
      </c>
      <c r="B117" s="18"/>
      <c r="C117" s="18"/>
      <c r="D117" s="8"/>
      <c r="E117" s="18"/>
      <c r="F117" s="18"/>
    </row>
    <row r="118" spans="1:6" x14ac:dyDescent="0.25">
      <c r="A118" s="5" t="s">
        <v>140</v>
      </c>
      <c r="B118" s="18">
        <v>-253285.44014408201</v>
      </c>
      <c r="C118" s="18">
        <v>-244541.41592243299</v>
      </c>
      <c r="D118" s="18">
        <v>-131203.183663181</v>
      </c>
      <c r="E118" s="18"/>
      <c r="F118" s="18">
        <v>-272020.16463396198</v>
      </c>
    </row>
    <row r="119" spans="1:6" x14ac:dyDescent="0.25">
      <c r="A119" s="3" t="s">
        <v>131</v>
      </c>
      <c r="B119" s="18"/>
      <c r="C119" s="18"/>
      <c r="D119" s="18"/>
      <c r="E119" s="18"/>
      <c r="F119" s="18"/>
    </row>
    <row r="120" spans="1:6" x14ac:dyDescent="0.25">
      <c r="A120" s="4" t="s">
        <v>74</v>
      </c>
      <c r="B120" s="18"/>
      <c r="C120" s="18"/>
      <c r="D120" s="18"/>
      <c r="E120" s="18"/>
      <c r="F120" s="18"/>
    </row>
    <row r="121" spans="1:6" x14ac:dyDescent="0.25">
      <c r="A121" s="5" t="s">
        <v>131</v>
      </c>
      <c r="B121" s="18"/>
      <c r="C121" s="18"/>
      <c r="D121" s="18"/>
      <c r="E121" s="18"/>
      <c r="F121" s="18"/>
    </row>
    <row r="122" spans="1:6" x14ac:dyDescent="0.25">
      <c r="A122" s="4" t="s">
        <v>71</v>
      </c>
      <c r="B122" s="18"/>
      <c r="C122" s="18"/>
      <c r="D122" s="18"/>
      <c r="E122" s="18"/>
      <c r="F122" s="18"/>
    </row>
    <row r="123" spans="1:6" x14ac:dyDescent="0.25">
      <c r="A123" s="5" t="s">
        <v>131</v>
      </c>
      <c r="B123" s="18"/>
      <c r="C123" s="18"/>
      <c r="D123" s="18"/>
      <c r="E123" s="18"/>
      <c r="F123" s="18"/>
    </row>
    <row r="124" spans="1:6" x14ac:dyDescent="0.25">
      <c r="A124" s="4" t="s">
        <v>86</v>
      </c>
      <c r="B124" s="18"/>
      <c r="C124" s="18"/>
      <c r="D124" s="18"/>
      <c r="E124" s="18"/>
      <c r="F124" s="18"/>
    </row>
    <row r="125" spans="1:6" x14ac:dyDescent="0.25">
      <c r="A125" s="5" t="s">
        <v>131</v>
      </c>
      <c r="B125" s="18"/>
      <c r="C125" s="18"/>
      <c r="D125" s="18"/>
      <c r="E125" s="18"/>
      <c r="F125" s="18"/>
    </row>
    <row r="126" spans="1:6" x14ac:dyDescent="0.25">
      <c r="A126" s="4" t="s">
        <v>85</v>
      </c>
      <c r="B126" s="18"/>
      <c r="C126" s="18"/>
      <c r="D126" s="18"/>
      <c r="E126" s="18"/>
      <c r="F126" s="18"/>
    </row>
    <row r="127" spans="1:6" x14ac:dyDescent="0.25">
      <c r="A127" s="5" t="s">
        <v>131</v>
      </c>
      <c r="B127" s="18"/>
      <c r="C127" s="18"/>
      <c r="D127" s="18"/>
      <c r="E127" s="18"/>
      <c r="F127" s="18"/>
    </row>
    <row r="128" spans="1:6" x14ac:dyDescent="0.25">
      <c r="A128" s="4" t="s">
        <v>51</v>
      </c>
      <c r="B128" s="18"/>
      <c r="C128" s="18"/>
      <c r="D128" s="18"/>
      <c r="E128" s="18"/>
      <c r="F128" s="18"/>
    </row>
    <row r="129" spans="1:6" x14ac:dyDescent="0.25">
      <c r="A129" s="5" t="s">
        <v>131</v>
      </c>
      <c r="B129" s="18"/>
      <c r="C129" s="18"/>
      <c r="D129" s="18"/>
      <c r="E129" s="18"/>
      <c r="F129" s="18"/>
    </row>
    <row r="130" spans="1:6" x14ac:dyDescent="0.25">
      <c r="A130" s="4" t="s">
        <v>87</v>
      </c>
      <c r="B130" s="18"/>
      <c r="C130" s="18"/>
      <c r="D130" s="18"/>
      <c r="E130" s="18"/>
      <c r="F130" s="18"/>
    </row>
    <row r="131" spans="1:6" x14ac:dyDescent="0.25">
      <c r="A131" s="5" t="s">
        <v>131</v>
      </c>
      <c r="B131" s="18"/>
      <c r="C131" s="18"/>
      <c r="D131" s="18"/>
      <c r="E131" s="18"/>
      <c r="F131" s="18"/>
    </row>
    <row r="132" spans="1:6" x14ac:dyDescent="0.25">
      <c r="A132" s="4" t="s">
        <v>50</v>
      </c>
      <c r="B132" s="18"/>
      <c r="C132" s="18"/>
      <c r="D132" s="18"/>
      <c r="E132" s="18"/>
      <c r="F132" s="18"/>
    </row>
    <row r="133" spans="1:6" x14ac:dyDescent="0.25">
      <c r="A133" s="5" t="s">
        <v>131</v>
      </c>
      <c r="B133" s="18"/>
      <c r="C133" s="18"/>
      <c r="D133" s="18"/>
      <c r="E133" s="18"/>
      <c r="F133" s="18"/>
    </row>
    <row r="134" spans="1:6" x14ac:dyDescent="0.25">
      <c r="A134" s="4" t="s">
        <v>69</v>
      </c>
      <c r="B134" s="18"/>
      <c r="C134" s="18"/>
      <c r="D134" s="18"/>
      <c r="E134" s="18"/>
      <c r="F134" s="18"/>
    </row>
    <row r="135" spans="1:6" x14ac:dyDescent="0.25">
      <c r="A135" s="5" t="s">
        <v>131</v>
      </c>
      <c r="B135" s="18"/>
      <c r="C135" s="18"/>
      <c r="D135" s="18"/>
      <c r="E135" s="18"/>
      <c r="F135" s="18"/>
    </row>
    <row r="136" spans="1:6" x14ac:dyDescent="0.25">
      <c r="A136" s="4" t="s">
        <v>84</v>
      </c>
      <c r="B136" s="18"/>
      <c r="C136" s="18"/>
      <c r="D136" s="18"/>
      <c r="E136" s="18"/>
      <c r="F136" s="18"/>
    </row>
    <row r="137" spans="1:6" x14ac:dyDescent="0.25">
      <c r="A137" s="5" t="s">
        <v>131</v>
      </c>
      <c r="B137" s="18"/>
      <c r="C137" s="18"/>
      <c r="D137" s="18"/>
      <c r="E137" s="18"/>
      <c r="F137" s="18"/>
    </row>
    <row r="138" spans="1:6" x14ac:dyDescent="0.25">
      <c r="A138" s="4" t="s">
        <v>82</v>
      </c>
      <c r="B138" s="18"/>
      <c r="C138" s="18"/>
      <c r="D138" s="18"/>
      <c r="E138" s="18"/>
      <c r="F138" s="18"/>
    </row>
    <row r="139" spans="1:6" x14ac:dyDescent="0.25">
      <c r="A139" s="5" t="s">
        <v>131</v>
      </c>
      <c r="B139" s="18"/>
      <c r="C139" s="18"/>
      <c r="D139" s="18"/>
      <c r="E139" s="18"/>
      <c r="F139" s="18"/>
    </row>
    <row r="140" spans="1:6" x14ac:dyDescent="0.25">
      <c r="A140" s="4" t="s">
        <v>83</v>
      </c>
      <c r="B140" s="18"/>
      <c r="C140" s="18"/>
      <c r="D140" s="18"/>
      <c r="E140" s="18"/>
      <c r="F140" s="18"/>
    </row>
    <row r="141" spans="1:6" x14ac:dyDescent="0.25">
      <c r="A141" s="5" t="s">
        <v>131</v>
      </c>
      <c r="B141" s="18"/>
      <c r="C141" s="18"/>
      <c r="D141" s="18"/>
      <c r="E141" s="18"/>
      <c r="F141" s="18"/>
    </row>
    <row r="142" spans="1:6" x14ac:dyDescent="0.25">
      <c r="A142" s="4" t="s">
        <v>80</v>
      </c>
      <c r="B142" s="18"/>
      <c r="C142" s="18"/>
      <c r="D142" s="18"/>
      <c r="E142" s="18"/>
      <c r="F142" s="18"/>
    </row>
    <row r="143" spans="1:6" x14ac:dyDescent="0.25">
      <c r="A143" s="5" t="s">
        <v>131</v>
      </c>
      <c r="B143" s="18"/>
      <c r="C143" s="18"/>
      <c r="D143" s="18"/>
      <c r="E143" s="18"/>
      <c r="F143" s="18"/>
    </row>
    <row r="144" spans="1:6" x14ac:dyDescent="0.25">
      <c r="A144" s="4" t="s">
        <v>81</v>
      </c>
      <c r="B144" s="18"/>
      <c r="C144" s="18"/>
      <c r="D144" s="18"/>
      <c r="E144" s="18"/>
      <c r="F144" s="18"/>
    </row>
    <row r="145" spans="1:6" x14ac:dyDescent="0.25">
      <c r="A145" s="5" t="s">
        <v>131</v>
      </c>
      <c r="B145" s="18"/>
      <c r="C145" s="18"/>
      <c r="D145" s="18"/>
      <c r="E145" s="18"/>
      <c r="F145" s="18"/>
    </row>
    <row r="146" spans="1:6" x14ac:dyDescent="0.25">
      <c r="A146" s="4" t="s">
        <v>73</v>
      </c>
      <c r="B146" s="18"/>
      <c r="C146" s="18"/>
      <c r="D146" s="18"/>
      <c r="E146" s="18"/>
      <c r="F146" s="18"/>
    </row>
    <row r="147" spans="1:6" x14ac:dyDescent="0.25">
      <c r="A147" s="5" t="s">
        <v>131</v>
      </c>
      <c r="B147" s="18"/>
      <c r="C147" s="18"/>
      <c r="D147" s="18"/>
      <c r="E147" s="18"/>
      <c r="F147" s="18"/>
    </row>
    <row r="148" spans="1:6" x14ac:dyDescent="0.25">
      <c r="A148" s="4" t="s">
        <v>70</v>
      </c>
      <c r="B148" s="18"/>
      <c r="C148" s="18"/>
      <c r="D148" s="18"/>
      <c r="E148" s="18"/>
      <c r="F148" s="18"/>
    </row>
    <row r="149" spans="1:6" x14ac:dyDescent="0.25">
      <c r="A149" s="5" t="s">
        <v>131</v>
      </c>
      <c r="B149" s="18"/>
      <c r="C149" s="18"/>
      <c r="D149" s="18"/>
      <c r="E149" s="18"/>
      <c r="F149" s="18"/>
    </row>
    <row r="150" spans="1:6" x14ac:dyDescent="0.25">
      <c r="A150" s="4" t="s">
        <v>79</v>
      </c>
      <c r="B150" s="18"/>
      <c r="C150" s="18"/>
      <c r="D150" s="18"/>
      <c r="E150" s="18"/>
      <c r="F150" s="18"/>
    </row>
    <row r="151" spans="1:6" x14ac:dyDescent="0.25">
      <c r="A151" s="5" t="s">
        <v>131</v>
      </c>
      <c r="B151" s="18"/>
      <c r="C151" s="18"/>
      <c r="D151" s="18"/>
      <c r="E151" s="18"/>
      <c r="F151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0177-D824-46B9-A9BC-1074E2FB8D08}">
  <dimension ref="A3:P121"/>
  <sheetViews>
    <sheetView workbookViewId="0">
      <selection activeCell="B7" sqref="B7"/>
    </sheetView>
  </sheetViews>
  <sheetFormatPr defaultRowHeight="15" x14ac:dyDescent="0.25"/>
  <cols>
    <col min="1" max="1" width="23.5703125" bestFit="1" customWidth="1"/>
    <col min="2" max="2" width="31.5703125" bestFit="1" customWidth="1"/>
    <col min="3" max="3" width="34.28515625" bestFit="1" customWidth="1"/>
    <col min="4" max="4" width="13.42578125" bestFit="1" customWidth="1"/>
    <col min="5" max="5" width="31.5703125" bestFit="1" customWidth="1"/>
    <col min="6" max="6" width="34.28515625" bestFit="1" customWidth="1"/>
    <col min="7" max="7" width="13.42578125" bestFit="1" customWidth="1"/>
    <col min="8" max="8" width="31.5703125" bestFit="1" customWidth="1"/>
    <col min="9" max="9" width="34.28515625" bestFit="1" customWidth="1"/>
    <col min="10" max="10" width="13.42578125" bestFit="1" customWidth="1"/>
    <col min="11" max="11" width="31.5703125" bestFit="1" customWidth="1"/>
    <col min="12" max="12" width="34.28515625" bestFit="1" customWidth="1"/>
    <col min="13" max="13" width="13.42578125" bestFit="1" customWidth="1"/>
    <col min="14" max="14" width="31.5703125" bestFit="1" customWidth="1"/>
    <col min="15" max="15" width="34.28515625" bestFit="1" customWidth="1"/>
    <col min="16" max="16" width="13.42578125" bestFit="1" customWidth="1"/>
    <col min="17" max="17" width="12.28515625" bestFit="1" customWidth="1"/>
    <col min="18" max="18" width="31.28515625" bestFit="1" customWidth="1"/>
    <col min="19" max="19" width="37.5703125" bestFit="1" customWidth="1"/>
    <col min="20" max="20" width="12.28515625" bestFit="1" customWidth="1"/>
    <col min="21" max="22" width="35.28515625" bestFit="1" customWidth="1"/>
    <col min="23" max="23" width="37.5703125" bestFit="1" customWidth="1"/>
    <col min="24" max="24" width="26.85546875" bestFit="1" customWidth="1"/>
    <col min="25" max="25" width="12.28515625" bestFit="1" customWidth="1"/>
    <col min="26" max="26" width="29.28515625" bestFit="1" customWidth="1"/>
    <col min="27" max="27" width="32.28515625" bestFit="1" customWidth="1"/>
    <col min="28" max="28" width="21.7109375" bestFit="1" customWidth="1"/>
    <col min="29" max="29" width="31.5703125" bestFit="1" customWidth="1"/>
    <col min="30" max="30" width="35" bestFit="1" customWidth="1"/>
    <col min="31" max="31" width="34.28515625" bestFit="1" customWidth="1"/>
    <col min="32" max="32" width="12" bestFit="1" customWidth="1"/>
    <col min="33" max="33" width="22.7109375" bestFit="1" customWidth="1"/>
    <col min="34" max="34" width="30.5703125" bestFit="1" customWidth="1"/>
    <col min="35" max="35" width="13.42578125" bestFit="1" customWidth="1"/>
    <col min="36" max="36" width="18.85546875" bestFit="1" customWidth="1"/>
    <col min="37" max="37" width="17.5703125" bestFit="1" customWidth="1"/>
    <col min="38" max="38" width="29.28515625" bestFit="1" customWidth="1"/>
    <col min="39" max="39" width="32.28515625" bestFit="1" customWidth="1"/>
    <col min="40" max="40" width="21.7109375" bestFit="1" customWidth="1"/>
    <col min="41" max="41" width="31.5703125" bestFit="1" customWidth="1"/>
    <col min="42" max="42" width="35" bestFit="1" customWidth="1"/>
    <col min="43" max="43" width="34.28515625" bestFit="1" customWidth="1"/>
    <col min="44" max="44" width="12" bestFit="1" customWidth="1"/>
    <col min="45" max="45" width="22.7109375" bestFit="1" customWidth="1"/>
    <col min="46" max="46" width="30.5703125" bestFit="1" customWidth="1"/>
    <col min="47" max="47" width="13.42578125" bestFit="1" customWidth="1"/>
    <col min="48" max="48" width="18.85546875" bestFit="1" customWidth="1"/>
    <col min="49" max="49" width="17.5703125" bestFit="1" customWidth="1"/>
    <col min="50" max="50" width="29.28515625" bestFit="1" customWidth="1"/>
    <col min="51" max="51" width="32.28515625" bestFit="1" customWidth="1"/>
    <col min="52" max="52" width="21.7109375" bestFit="1" customWidth="1"/>
    <col min="53" max="53" width="31.5703125" bestFit="1" customWidth="1"/>
    <col min="54" max="54" width="35" bestFit="1" customWidth="1"/>
    <col min="55" max="55" width="34.28515625" bestFit="1" customWidth="1"/>
    <col min="56" max="56" width="12" bestFit="1" customWidth="1"/>
    <col min="57" max="57" width="22.7109375" bestFit="1" customWidth="1"/>
    <col min="58" max="58" width="30.5703125" bestFit="1" customWidth="1"/>
    <col min="59" max="59" width="13.42578125" bestFit="1" customWidth="1"/>
    <col min="60" max="60" width="18.85546875" bestFit="1" customWidth="1"/>
    <col min="61" max="61" width="17.5703125" bestFit="1" customWidth="1"/>
    <col min="62" max="62" width="29.28515625" bestFit="1" customWidth="1"/>
    <col min="63" max="63" width="32.28515625" bestFit="1" customWidth="1"/>
    <col min="64" max="64" width="21.7109375" bestFit="1" customWidth="1"/>
    <col min="65" max="65" width="31.5703125" bestFit="1" customWidth="1"/>
    <col min="66" max="66" width="35" bestFit="1" customWidth="1"/>
    <col min="67" max="67" width="34.28515625" bestFit="1" customWidth="1"/>
    <col min="68" max="68" width="12" bestFit="1" customWidth="1"/>
    <col min="69" max="69" width="22.7109375" bestFit="1" customWidth="1"/>
    <col min="70" max="70" width="30.5703125" bestFit="1" customWidth="1"/>
    <col min="71" max="71" width="13.42578125" bestFit="1" customWidth="1"/>
    <col min="72" max="72" width="18.85546875" bestFit="1" customWidth="1"/>
    <col min="73" max="73" width="17.5703125" bestFit="1" customWidth="1"/>
    <col min="74" max="74" width="29.28515625" bestFit="1" customWidth="1"/>
    <col min="75" max="75" width="32.28515625" bestFit="1" customWidth="1"/>
    <col min="76" max="76" width="21.7109375" bestFit="1" customWidth="1"/>
    <col min="77" max="77" width="31.5703125" bestFit="1" customWidth="1"/>
    <col min="78" max="78" width="35" bestFit="1" customWidth="1"/>
    <col min="79" max="79" width="34.28515625" bestFit="1" customWidth="1"/>
    <col min="80" max="80" width="12" bestFit="1" customWidth="1"/>
    <col min="81" max="81" width="22.7109375" bestFit="1" customWidth="1"/>
    <col min="82" max="82" width="30.5703125" bestFit="1" customWidth="1"/>
    <col min="83" max="83" width="13.42578125" bestFit="1" customWidth="1"/>
    <col min="84" max="84" width="18.85546875" bestFit="1" customWidth="1"/>
    <col min="85" max="85" width="17.5703125" bestFit="1" customWidth="1"/>
    <col min="86" max="86" width="29.28515625" bestFit="1" customWidth="1"/>
    <col min="87" max="87" width="32.28515625" bestFit="1" customWidth="1"/>
    <col min="88" max="88" width="21.7109375" bestFit="1" customWidth="1"/>
    <col min="89" max="89" width="31.5703125" bestFit="1" customWidth="1"/>
    <col min="90" max="90" width="35" bestFit="1" customWidth="1"/>
    <col min="91" max="91" width="34.28515625" bestFit="1" customWidth="1"/>
    <col min="92" max="92" width="12" bestFit="1" customWidth="1"/>
    <col min="93" max="93" width="22.7109375" bestFit="1" customWidth="1"/>
    <col min="94" max="94" width="30.5703125" bestFit="1" customWidth="1"/>
    <col min="95" max="95" width="13.42578125" bestFit="1" customWidth="1"/>
    <col min="96" max="96" width="18.85546875" bestFit="1" customWidth="1"/>
    <col min="97" max="97" width="17.5703125" bestFit="1" customWidth="1"/>
    <col min="98" max="98" width="29.28515625" bestFit="1" customWidth="1"/>
    <col min="99" max="99" width="32.28515625" bestFit="1" customWidth="1"/>
    <col min="100" max="100" width="21.7109375" bestFit="1" customWidth="1"/>
    <col min="101" max="101" width="31.5703125" bestFit="1" customWidth="1"/>
    <col min="102" max="102" width="35" bestFit="1" customWidth="1"/>
    <col min="103" max="103" width="34.28515625" bestFit="1" customWidth="1"/>
    <col min="104" max="104" width="12" bestFit="1" customWidth="1"/>
    <col min="105" max="105" width="22.7109375" bestFit="1" customWidth="1"/>
    <col min="106" max="106" width="30.5703125" bestFit="1" customWidth="1"/>
    <col min="107" max="107" width="13.42578125" bestFit="1" customWidth="1"/>
    <col min="108" max="108" width="18.85546875" bestFit="1" customWidth="1"/>
    <col min="109" max="109" width="17.5703125" bestFit="1" customWidth="1"/>
    <col min="110" max="110" width="29.28515625" bestFit="1" customWidth="1"/>
    <col min="111" max="111" width="32.28515625" bestFit="1" customWidth="1"/>
    <col min="112" max="112" width="21.7109375" bestFit="1" customWidth="1"/>
    <col min="113" max="113" width="31.5703125" bestFit="1" customWidth="1"/>
    <col min="114" max="114" width="35" bestFit="1" customWidth="1"/>
    <col min="115" max="115" width="34.28515625" bestFit="1" customWidth="1"/>
    <col min="116" max="116" width="11.42578125" bestFit="1" customWidth="1"/>
    <col min="117" max="117" width="22.7109375" bestFit="1" customWidth="1"/>
    <col min="118" max="118" width="30.5703125" bestFit="1" customWidth="1"/>
    <col min="119" max="119" width="13.42578125" bestFit="1" customWidth="1"/>
    <col min="120" max="120" width="18.85546875" bestFit="1" customWidth="1"/>
    <col min="121" max="121" width="17.5703125" bestFit="1" customWidth="1"/>
    <col min="122" max="122" width="29.28515625" bestFit="1" customWidth="1"/>
    <col min="123" max="123" width="32.28515625" bestFit="1" customWidth="1"/>
    <col min="124" max="124" width="21.7109375" bestFit="1" customWidth="1"/>
    <col min="125" max="125" width="31.5703125" bestFit="1" customWidth="1"/>
    <col min="126" max="126" width="35" bestFit="1" customWidth="1"/>
    <col min="127" max="127" width="34.28515625" bestFit="1" customWidth="1"/>
    <col min="128" max="128" width="12" bestFit="1" customWidth="1"/>
    <col min="129" max="129" width="22.7109375" bestFit="1" customWidth="1"/>
    <col min="130" max="130" width="30.5703125" bestFit="1" customWidth="1"/>
    <col min="131" max="131" width="13.42578125" bestFit="1" customWidth="1"/>
    <col min="132" max="132" width="18.85546875" bestFit="1" customWidth="1"/>
    <col min="133" max="133" width="17.5703125" bestFit="1" customWidth="1"/>
    <col min="134" max="134" width="29.28515625" bestFit="1" customWidth="1"/>
    <col min="135" max="135" width="32.28515625" bestFit="1" customWidth="1"/>
    <col min="136" max="136" width="21.7109375" bestFit="1" customWidth="1"/>
    <col min="137" max="137" width="31.5703125" bestFit="1" customWidth="1"/>
    <col min="138" max="138" width="35" bestFit="1" customWidth="1"/>
    <col min="139" max="139" width="34.28515625" bestFit="1" customWidth="1"/>
    <col min="140" max="140" width="11.42578125" bestFit="1" customWidth="1"/>
    <col min="141" max="141" width="22.7109375" bestFit="1" customWidth="1"/>
    <col min="142" max="142" width="30.5703125" bestFit="1" customWidth="1"/>
    <col min="143" max="143" width="13.42578125" bestFit="1" customWidth="1"/>
    <col min="144" max="144" width="18.85546875" bestFit="1" customWidth="1"/>
    <col min="145" max="145" width="17.5703125" bestFit="1" customWidth="1"/>
    <col min="146" max="146" width="29.28515625" bestFit="1" customWidth="1"/>
    <col min="147" max="147" width="32.28515625" bestFit="1" customWidth="1"/>
    <col min="148" max="148" width="21.7109375" bestFit="1" customWidth="1"/>
    <col min="149" max="149" width="31.5703125" bestFit="1" customWidth="1"/>
    <col min="150" max="150" width="35" bestFit="1" customWidth="1"/>
    <col min="151" max="151" width="34.28515625" bestFit="1" customWidth="1"/>
    <col min="152" max="152" width="12" bestFit="1" customWidth="1"/>
    <col min="153" max="153" width="22.7109375" bestFit="1" customWidth="1"/>
    <col min="154" max="154" width="30.5703125" bestFit="1" customWidth="1"/>
    <col min="155" max="155" width="13.42578125" bestFit="1" customWidth="1"/>
    <col min="156" max="156" width="18.85546875" bestFit="1" customWidth="1"/>
    <col min="157" max="157" width="17.5703125" bestFit="1" customWidth="1"/>
  </cols>
  <sheetData>
    <row r="3" spans="1:16" x14ac:dyDescent="0.25">
      <c r="B3" s="2" t="s">
        <v>49</v>
      </c>
    </row>
    <row r="4" spans="1:16" x14ac:dyDescent="0.25">
      <c r="B4">
        <v>1</v>
      </c>
      <c r="E4">
        <v>2</v>
      </c>
      <c r="H4">
        <v>3</v>
      </c>
      <c r="K4" t="s">
        <v>131</v>
      </c>
      <c r="N4">
        <v>4</v>
      </c>
    </row>
    <row r="5" spans="1:16" x14ac:dyDescent="0.25">
      <c r="A5" s="2" t="s">
        <v>48</v>
      </c>
      <c r="B5" t="s">
        <v>74</v>
      </c>
      <c r="C5" t="s">
        <v>71</v>
      </c>
      <c r="D5" t="s">
        <v>69</v>
      </c>
      <c r="E5" t="s">
        <v>74</v>
      </c>
      <c r="F5" t="s">
        <v>71</v>
      </c>
      <c r="G5" t="s">
        <v>69</v>
      </c>
      <c r="H5" t="s">
        <v>74</v>
      </c>
      <c r="I5" t="s">
        <v>71</v>
      </c>
      <c r="J5" t="s">
        <v>69</v>
      </c>
      <c r="K5" t="s">
        <v>74</v>
      </c>
      <c r="L5" t="s">
        <v>71</v>
      </c>
      <c r="M5" t="s">
        <v>69</v>
      </c>
      <c r="N5" t="s">
        <v>74</v>
      </c>
      <c r="O5" t="s">
        <v>71</v>
      </c>
      <c r="P5" t="s">
        <v>69</v>
      </c>
    </row>
    <row r="6" spans="1:16" x14ac:dyDescent="0.25">
      <c r="A6" s="3" t="s">
        <v>44</v>
      </c>
      <c r="B6" s="7"/>
      <c r="C6" s="7"/>
      <c r="D6" s="7"/>
      <c r="E6" s="7"/>
      <c r="F6" s="7"/>
      <c r="G6" s="7"/>
      <c r="H6" s="8"/>
      <c r="I6" s="8"/>
      <c r="J6" s="8"/>
      <c r="K6" s="7"/>
      <c r="L6" s="7"/>
      <c r="M6" s="7"/>
      <c r="N6" s="7"/>
      <c r="O6" s="7"/>
      <c r="P6" s="7"/>
    </row>
    <row r="7" spans="1:16" x14ac:dyDescent="0.25">
      <c r="A7" s="4" t="s">
        <v>141</v>
      </c>
      <c r="B7" s="18"/>
      <c r="C7" s="18"/>
      <c r="D7" s="18"/>
      <c r="E7" s="18"/>
      <c r="F7" s="18"/>
      <c r="G7" s="18"/>
      <c r="H7" s="18">
        <v>1.1937316901588699E-8</v>
      </c>
      <c r="I7" s="18">
        <v>1.26673735361303E-8</v>
      </c>
      <c r="J7" s="18">
        <v>580077.96514476696</v>
      </c>
      <c r="K7" s="18"/>
      <c r="L7" s="18"/>
      <c r="M7" s="18"/>
      <c r="N7" s="18"/>
      <c r="O7" s="18"/>
      <c r="P7" s="18"/>
    </row>
    <row r="8" spans="1:16" x14ac:dyDescent="0.25">
      <c r="A8" s="4" t="s">
        <v>142</v>
      </c>
      <c r="B8" s="18"/>
      <c r="C8" s="18"/>
      <c r="D8" s="18"/>
      <c r="E8" s="18"/>
      <c r="F8" s="18"/>
      <c r="G8" s="18"/>
      <c r="H8" s="18">
        <v>1.17291092154274E-8</v>
      </c>
      <c r="I8" s="18">
        <v>1.24464245048461E-8</v>
      </c>
      <c r="J8" s="18">
        <v>580563.56082947506</v>
      </c>
      <c r="K8" s="18"/>
      <c r="L8" s="18"/>
      <c r="M8" s="18"/>
      <c r="N8" s="18"/>
      <c r="O8" s="18"/>
      <c r="P8" s="18"/>
    </row>
    <row r="9" spans="1:16" x14ac:dyDescent="0.25">
      <c r="A9" s="4" t="s">
        <v>143</v>
      </c>
      <c r="B9" s="18"/>
      <c r="C9" s="18"/>
      <c r="D9" s="18"/>
      <c r="E9" s="18"/>
      <c r="F9" s="18"/>
      <c r="G9" s="18"/>
      <c r="H9" s="18">
        <v>1.1937316901588699E-8</v>
      </c>
      <c r="I9" s="18">
        <v>1.26673735361303E-8</v>
      </c>
      <c r="J9" s="18">
        <v>580077.96514476696</v>
      </c>
      <c r="K9" s="18"/>
      <c r="L9" s="18"/>
      <c r="M9" s="18"/>
      <c r="N9" s="18"/>
      <c r="O9" s="18"/>
      <c r="P9" s="18"/>
    </row>
    <row r="10" spans="1:16" x14ac:dyDescent="0.25">
      <c r="A10" s="4" t="s">
        <v>144</v>
      </c>
      <c r="B10" s="18"/>
      <c r="C10" s="18"/>
      <c r="D10" s="18"/>
      <c r="E10" s="18"/>
      <c r="F10" s="18"/>
      <c r="G10" s="18"/>
      <c r="H10" s="18">
        <v>1.17291092154274E-8</v>
      </c>
      <c r="I10" s="18">
        <v>1.24464245048461E-8</v>
      </c>
      <c r="J10" s="18">
        <v>580563.56082947506</v>
      </c>
      <c r="K10" s="18"/>
      <c r="L10" s="18"/>
      <c r="M10" s="18"/>
      <c r="N10" s="18"/>
      <c r="O10" s="18"/>
      <c r="P10" s="18"/>
    </row>
    <row r="11" spans="1:16" x14ac:dyDescent="0.25">
      <c r="A11" s="3" t="s">
        <v>47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 x14ac:dyDescent="0.25">
      <c r="A12" s="4" t="s">
        <v>140</v>
      </c>
      <c r="B12" s="18"/>
      <c r="C12" s="18"/>
      <c r="D12" s="18">
        <v>917322.93404850201</v>
      </c>
      <c r="E12" s="18"/>
      <c r="F12" s="18"/>
      <c r="G12" s="18">
        <v>673346.72945215704</v>
      </c>
      <c r="H12" s="18"/>
      <c r="I12" s="18"/>
      <c r="J12" s="18">
        <v>570293.67799001199</v>
      </c>
      <c r="K12" s="18"/>
      <c r="L12" s="18"/>
      <c r="M12" s="18"/>
      <c r="N12" s="18"/>
      <c r="O12" s="18"/>
      <c r="P12" s="18">
        <v>835253.80191126897</v>
      </c>
    </row>
    <row r="13" spans="1:16" x14ac:dyDescent="0.25">
      <c r="A13" s="3" t="s">
        <v>131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25">
      <c r="A14" s="4" t="s">
        <v>131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34" spans="1:7" x14ac:dyDescent="0.25">
      <c r="A34" s="12" t="s">
        <v>48</v>
      </c>
      <c r="B34" t="s">
        <v>127</v>
      </c>
      <c r="C34" s="12" t="s">
        <v>74</v>
      </c>
      <c r="D34" s="12" t="s">
        <v>71</v>
      </c>
      <c r="E34" s="12" t="s">
        <v>69</v>
      </c>
    </row>
    <row r="35" spans="1:7" x14ac:dyDescent="0.25">
      <c r="A35" s="13" t="s">
        <v>44</v>
      </c>
      <c r="C35" s="14"/>
      <c r="D35" s="14"/>
      <c r="E35" s="14"/>
    </row>
    <row r="36" spans="1:7" x14ac:dyDescent="0.25">
      <c r="A36" s="4" t="s">
        <v>67</v>
      </c>
      <c r="B36" t="s">
        <v>117</v>
      </c>
      <c r="C36" s="7">
        <v>56690276.061371498</v>
      </c>
      <c r="D36" s="7">
        <v>170070.82818396899</v>
      </c>
      <c r="E36" s="7">
        <v>57778360.989197299</v>
      </c>
    </row>
    <row r="37" spans="1:7" x14ac:dyDescent="0.25">
      <c r="A37" s="4" t="s">
        <v>68</v>
      </c>
      <c r="B37" t="s">
        <v>120</v>
      </c>
      <c r="C37" s="7">
        <v>39557247.921979398</v>
      </c>
      <c r="D37" s="7">
        <v>170781.90893720501</v>
      </c>
      <c r="E37" s="7">
        <v>40680407.048092403</v>
      </c>
    </row>
    <row r="38" spans="1:7" x14ac:dyDescent="0.25">
      <c r="A38" s="4" t="s">
        <v>88</v>
      </c>
      <c r="B38" t="s">
        <v>121</v>
      </c>
      <c r="C38" s="7">
        <v>56690276.061425403</v>
      </c>
      <c r="D38" s="7">
        <v>170070.828184276</v>
      </c>
      <c r="E38" s="7">
        <v>918019.92408007197</v>
      </c>
    </row>
    <row r="39" spans="1:7" x14ac:dyDescent="0.25">
      <c r="A39" s="4" t="s">
        <v>89</v>
      </c>
      <c r="B39" t="s">
        <v>115</v>
      </c>
      <c r="C39" s="7">
        <v>39557247.921979398</v>
      </c>
      <c r="D39" s="7">
        <v>170781.90893720501</v>
      </c>
      <c r="E39" s="7">
        <v>40680407.048092403</v>
      </c>
    </row>
    <row r="40" spans="1:7" x14ac:dyDescent="0.25">
      <c r="A40" s="4" t="s">
        <v>90</v>
      </c>
      <c r="B40" t="s">
        <v>116</v>
      </c>
      <c r="C40" s="7">
        <v>39557247.921979398</v>
      </c>
      <c r="D40" s="7">
        <v>170781.90893720501</v>
      </c>
      <c r="E40" s="7">
        <v>40680407.048092403</v>
      </c>
    </row>
    <row r="41" spans="1:7" x14ac:dyDescent="0.25">
      <c r="A41" s="4" t="s">
        <v>118</v>
      </c>
      <c r="B41" t="s">
        <v>122</v>
      </c>
      <c r="C41" s="7">
        <v>39557247.921992101</v>
      </c>
      <c r="D41" s="7">
        <v>170438.19292653899</v>
      </c>
      <c r="E41" s="7">
        <v>40707783.744560599</v>
      </c>
    </row>
    <row r="42" spans="1:7" x14ac:dyDescent="0.25">
      <c r="A42" s="4" t="s">
        <v>119</v>
      </c>
      <c r="B42" t="s">
        <v>123</v>
      </c>
      <c r="C42" s="7">
        <v>39557247.922099903</v>
      </c>
      <c r="D42" s="7">
        <v>171871.52596832899</v>
      </c>
      <c r="E42" s="7">
        <v>40681582.074258603</v>
      </c>
    </row>
    <row r="43" spans="1:7" x14ac:dyDescent="0.25">
      <c r="A43" s="4" t="s">
        <v>106</v>
      </c>
      <c r="B43" t="s">
        <v>124</v>
      </c>
      <c r="C43" s="7">
        <v>56690276.061402202</v>
      </c>
      <c r="D43" s="7">
        <v>170070.82818418101</v>
      </c>
      <c r="E43" s="7">
        <v>57778370.5382578</v>
      </c>
    </row>
    <row r="44" spans="1:7" x14ac:dyDescent="0.25">
      <c r="A44" s="4" t="s">
        <v>114</v>
      </c>
      <c r="B44" t="s">
        <v>125</v>
      </c>
      <c r="C44" s="7">
        <v>39557247.922002897</v>
      </c>
      <c r="D44" s="7">
        <v>171284.420720239</v>
      </c>
      <c r="E44" s="7">
        <v>40681056.102771297</v>
      </c>
      <c r="F44" s="15">
        <f>(E44-E37)/E44</f>
        <v>1.5954715562321995E-5</v>
      </c>
      <c r="G44" s="7"/>
    </row>
    <row r="45" spans="1:7" x14ac:dyDescent="0.25">
      <c r="A45" s="4" t="s">
        <v>119</v>
      </c>
      <c r="B45" t="s">
        <v>128</v>
      </c>
      <c r="C45" s="7">
        <v>39557247.922099903</v>
      </c>
      <c r="D45" s="7">
        <v>171871.52596832899</v>
      </c>
      <c r="E45" s="7">
        <v>40681582.074258603</v>
      </c>
      <c r="F45">
        <f>(E45-E37)/E45</f>
        <v>2.8883492388663501E-5</v>
      </c>
    </row>
    <row r="46" spans="1:7" x14ac:dyDescent="0.25">
      <c r="A46" s="4" t="s">
        <v>126</v>
      </c>
    </row>
    <row r="61" spans="6:6" x14ac:dyDescent="0.25">
      <c r="F61" t="e">
        <f>GETPIVOTDATA("Sum of EOV",$A$3,"model_type","conservative","solution_id","RTS-GMLC_v3.1.1s","day",1)*0.000001</f>
        <v>#REF!</v>
      </c>
    </row>
    <row r="67" spans="6:7" x14ac:dyDescent="0.25">
      <c r="F67" s="9" t="e">
        <f>GETPIVOTDATA("Sum of OV_uc",$A$3,"model_type","conservative","solution_id","RTS-GMLC_v3.1.1s","day",1)-GETPIVOTDATA("Sum of OV_uc",$A$3,"model_type","conservative","solution_id","RTS-GMLC_v3.4s","day",1)</f>
        <v>#REF!</v>
      </c>
      <c r="G67" s="10"/>
    </row>
    <row r="82" spans="6:8" x14ac:dyDescent="0.25">
      <c r="F82" t="e">
        <f>(GETPIVOTDATA("Sum of OV_uc",$A$3,"model_type","conservative","solution_id","RTS-GMLC_v3.4.1s","day",1)-GETPIVOTDATA("Sum of OV_uc",$A$3,"model_type","conservative","solution_id","RTS-GMLC_v3.4s","day",1))/GETPIVOTDATA("Sum of OV_uc",$A$3,"model_type","conservative","solution_id","RTS-GMLC_v3.4.1s","day",1)</f>
        <v>#REF!</v>
      </c>
    </row>
    <row r="86" spans="6:8" x14ac:dyDescent="0.25">
      <c r="G86" t="e">
        <f>GETPIVOTDATA("Sum of EOV",$A$3,"model_type","envelope","solution_id","RTS-GMLC_v3.1.1s","day",3)-GETPIVOTDATA("Sum of EOPEX",$A$3,"model_type","envelope","solution_id","RTS-GMLC_v3.1.1s","day",3)-GETPIVOTDATA("Sum of ELGEN_cost",$A$3,"model_type","envelope","solution_id","RTS-GMLC_v3.1.1s","day",3)-GETPIVOTDATA("Sum of EENS_cost",$A$3,"model_type","envelope","solution_id","RTS-GMLC_v3.1.1s","day",3)-GETPIVOTDATA("Sum of slack_reserve_down_cost_uc",$A$3,"model_type","envelope","solution_id","RTS-GMLC_v3.1.1s","day",3)-GETPIVOTDATA("Sum of slack_reserve_up_cost_uc",$A$3,"model_type","envelope","solution_id","RTS-GMLC_v3.1.1s","day",3)</f>
        <v>#REF!</v>
      </c>
    </row>
    <row r="87" spans="6:8" x14ac:dyDescent="0.25">
      <c r="G87" t="e">
        <f>GETPIVOTDATA("Sum of EOV",$A$3,"model_type","envelope","solution_id","RTS-GMLC_v3.2s","day",3)-GETPIVOTDATA("Sum of ELGEN_cost",$A$3,"model_type","envelope","solution_id","RTS-GMLC_v3.2s","day",3)-GETPIVOTDATA("Sum of EENS_cost",$A$3,"model_type","envelope","solution_id","RTS-GMLC_v3.2s","day",3)-GETPIVOTDATA("Sum of slack_reserve_up_cost_uc",$A$3,"model_type","envelope","solution_id","RTS-GMLC_v3.2s","day",3)-GETPIVOTDATA("Sum of slack_reserve_down_cost_uc",$A$3,"model_type","envelope","solution_id","RTS-GMLC_v3.2s","day",3)</f>
        <v>#REF!</v>
      </c>
      <c r="H87" t="e">
        <f>GETPIVOTDATA("Sum of EOV",$A$3,"model_type","envelope","solution_id","RTS-GMLC_v3.2s","day",1)-GETPIVOTDATA("Sum of EOPEX",$A$3,"model_type","envelope","solution_id","RTS-GMLC_v3.2s","day",1)</f>
        <v>#REF!</v>
      </c>
    </row>
    <row r="93" spans="6:8" x14ac:dyDescent="0.25">
      <c r="F93" t="e">
        <f>(GETPIVOTDATA("Sum of OV_uc",$A$3,"model_type","conservative","solution_id","RTS-GMLC_v3.4.2s","day",1)-GETPIVOTDATA("Sum of OV_uc",$A$3,"model_type","conservative","solution_id","RTS-GMLC_v3.4s","day",1))/GETPIVOTDATA("Sum of OV_uc",$A$3,"model_type","conservative","solution_id","RTS-GMLC_v3.4.2s","day",1)</f>
        <v>#REF!</v>
      </c>
    </row>
    <row r="121" spans="6:6" x14ac:dyDescent="0.25">
      <c r="F121" t="e">
        <f>GETPIVOTDATA("Sum of EOPEX",$A$3,"model_type","envelope","solution_id","RTS-GMLC_v3.2s","day",3)+GETPIVOTDATA("Sum of ELGEN_cost",$A$3,"model_type","envelope","solution_id","RTS-GMLC_v3.2s","day",3)+GETPIVOTDATA("Sum of EENS_cost",$A$3,"model_type","envelope","solution_id","RTS-GMLC_v3.2s","day",3)+GETPIVOTDATA("Sum of slack_reserve_up_cost_uc",$A$3,"model_type","envelope","solution_id","RTS-GMLC_v3.2s","day",3)+GETPIVOTDATA("Sum of slack_reserve_down_cost_uc",$A$3,"model_type","envelope","solution_id","RTS-GMLC_v3.2s","day",3)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AA16-D665-44D4-971F-ED10AC348084}">
  <dimension ref="A3:J85"/>
  <sheetViews>
    <sheetView topLeftCell="A51" workbookViewId="0">
      <selection activeCell="A22" sqref="A22"/>
    </sheetView>
  </sheetViews>
  <sheetFormatPr defaultRowHeight="15" x14ac:dyDescent="0.25"/>
  <cols>
    <col min="1" max="1" width="50.7109375" bestFit="1" customWidth="1"/>
    <col min="2" max="2" width="16.85546875" bestFit="1" customWidth="1"/>
    <col min="3" max="3" width="2" bestFit="1" customWidth="1"/>
    <col min="4" max="4" width="12.140625" bestFit="1" customWidth="1"/>
    <col min="5" max="5" width="7.28515625" bestFit="1" customWidth="1"/>
    <col min="6" max="6" width="2" bestFit="1" customWidth="1"/>
    <col min="7" max="7" width="12.140625" bestFit="1" customWidth="1"/>
    <col min="8" max="8" width="35.5703125" bestFit="1" customWidth="1"/>
    <col min="9" max="9" width="26.7109375" bestFit="1" customWidth="1"/>
    <col min="10" max="10" width="29.28515625" bestFit="1" customWidth="1"/>
    <col min="11" max="11" width="38.28515625" bestFit="1" customWidth="1"/>
    <col min="12" max="12" width="35.5703125" bestFit="1" customWidth="1"/>
    <col min="13" max="13" width="26.7109375" bestFit="1" customWidth="1"/>
    <col min="14" max="14" width="29.28515625" bestFit="1" customWidth="1"/>
    <col min="15" max="15" width="38.28515625" bestFit="1" customWidth="1"/>
    <col min="16" max="16" width="35.5703125" bestFit="1" customWidth="1"/>
    <col min="17" max="17" width="26.7109375" bestFit="1" customWidth="1"/>
    <col min="18" max="18" width="29.28515625" bestFit="1" customWidth="1"/>
    <col min="19" max="19" width="43.28515625" bestFit="1" customWidth="1"/>
    <col min="20" max="20" width="40.5703125" bestFit="1" customWidth="1"/>
    <col min="21" max="21" width="31.7109375" bestFit="1" customWidth="1"/>
    <col min="22" max="22" width="34.42578125" bestFit="1" customWidth="1"/>
  </cols>
  <sheetData>
    <row r="3" spans="1:10" x14ac:dyDescent="0.25">
      <c r="B3" s="2" t="s">
        <v>49</v>
      </c>
    </row>
    <row r="4" spans="1:10" x14ac:dyDescent="0.25">
      <c r="A4" s="2" t="s">
        <v>48</v>
      </c>
      <c r="B4">
        <v>1</v>
      </c>
      <c r="C4">
        <v>2</v>
      </c>
      <c r="D4">
        <v>3</v>
      </c>
      <c r="E4" t="s">
        <v>131</v>
      </c>
      <c r="F4">
        <v>4</v>
      </c>
      <c r="G4" t="s">
        <v>93</v>
      </c>
    </row>
    <row r="5" spans="1:10" x14ac:dyDescent="0.25">
      <c r="A5" s="3" t="s">
        <v>44</v>
      </c>
      <c r="B5" s="18"/>
      <c r="C5" s="18"/>
      <c r="D5" s="18"/>
      <c r="E5" s="18"/>
      <c r="F5" s="18"/>
      <c r="G5" s="18"/>
      <c r="H5" t="s">
        <v>44</v>
      </c>
    </row>
    <row r="6" spans="1:10" x14ac:dyDescent="0.25">
      <c r="A6" s="4" t="s">
        <v>76</v>
      </c>
      <c r="B6" s="18"/>
      <c r="C6" s="18"/>
      <c r="D6" s="18"/>
      <c r="E6" s="18"/>
      <c r="F6" s="18"/>
      <c r="G6" s="18"/>
      <c r="H6" t="s">
        <v>76</v>
      </c>
    </row>
    <row r="7" spans="1:10" x14ac:dyDescent="0.25">
      <c r="A7" s="5" t="s">
        <v>141</v>
      </c>
      <c r="B7" s="18"/>
      <c r="C7" s="18"/>
      <c r="D7" s="18">
        <v>4.7749267606354699E-11</v>
      </c>
      <c r="E7" s="18"/>
      <c r="F7" s="18"/>
      <c r="G7" s="18">
        <v>4.7749267606354699E-11</v>
      </c>
      <c r="H7" t="s">
        <v>88</v>
      </c>
      <c r="J7" t="s">
        <v>113</v>
      </c>
    </row>
    <row r="8" spans="1:10" x14ac:dyDescent="0.25">
      <c r="A8" s="5" t="s">
        <v>142</v>
      </c>
      <c r="B8" s="18"/>
      <c r="C8" s="18"/>
      <c r="D8" s="18">
        <v>4.6916436861709602E-11</v>
      </c>
      <c r="E8" s="18"/>
      <c r="F8" s="18"/>
      <c r="G8" s="18">
        <v>4.6916436861709602E-11</v>
      </c>
      <c r="H8" t="s">
        <v>67</v>
      </c>
      <c r="I8">
        <v>5669.0276061371496</v>
      </c>
    </row>
    <row r="9" spans="1:10" x14ac:dyDescent="0.25">
      <c r="A9" s="5" t="s">
        <v>143</v>
      </c>
      <c r="B9" s="18"/>
      <c r="C9" s="18"/>
      <c r="D9" s="18">
        <v>4.7749267606354699E-11</v>
      </c>
      <c r="E9" s="18"/>
      <c r="F9" s="18"/>
      <c r="G9" s="18">
        <v>4.7749267606354699E-11</v>
      </c>
      <c r="H9" t="s">
        <v>68</v>
      </c>
      <c r="I9">
        <v>3955.7247921979301</v>
      </c>
      <c r="J9" s="8">
        <f>(I37)/(I30-I9)</f>
        <v>0.999999999999995</v>
      </c>
    </row>
    <row r="10" spans="1:10" x14ac:dyDescent="0.25">
      <c r="A10" s="5" t="s">
        <v>144</v>
      </c>
      <c r="B10" s="18"/>
      <c r="C10" s="18"/>
      <c r="D10" s="18">
        <v>4.6916436861709602E-11</v>
      </c>
      <c r="E10" s="18"/>
      <c r="F10" s="18"/>
      <c r="G10" s="18">
        <v>4.6916436861709602E-11</v>
      </c>
      <c r="H10" t="s">
        <v>89</v>
      </c>
      <c r="I10">
        <v>3955.7247921979301</v>
      </c>
      <c r="J10" s="8">
        <f>(I38)/(I31-I10)</f>
        <v>0.999999999999995</v>
      </c>
    </row>
    <row r="11" spans="1:10" x14ac:dyDescent="0.25">
      <c r="A11" s="4" t="s">
        <v>72</v>
      </c>
      <c r="B11" s="18"/>
      <c r="C11" s="18"/>
      <c r="D11" s="18"/>
      <c r="E11" s="18"/>
      <c r="F11" s="18"/>
      <c r="G11" s="18"/>
      <c r="H11" t="s">
        <v>90</v>
      </c>
      <c r="I11">
        <v>3955.7247921979301</v>
      </c>
      <c r="J11" s="8">
        <f t="shared" ref="J11" si="0">(I39)/(I32-I11)</f>
        <v>0.999999999999995</v>
      </c>
    </row>
    <row r="12" spans="1:10" x14ac:dyDescent="0.25">
      <c r="A12" s="5" t="s">
        <v>141</v>
      </c>
      <c r="B12" s="18"/>
      <c r="C12" s="18"/>
      <c r="D12" s="18">
        <v>5.06694941445214E-11</v>
      </c>
      <c r="E12" s="18"/>
      <c r="F12" s="18"/>
      <c r="G12" s="18">
        <v>5.06694941445214E-11</v>
      </c>
      <c r="H12" t="s">
        <v>106</v>
      </c>
      <c r="I12">
        <v>5669.0276061402201</v>
      </c>
      <c r="J12" s="8">
        <f>(I40)/(I33-I12)</f>
        <v>0.9999999999998781</v>
      </c>
    </row>
    <row r="13" spans="1:10" x14ac:dyDescent="0.25">
      <c r="A13" s="5" t="s">
        <v>142</v>
      </c>
      <c r="B13" s="18"/>
      <c r="C13" s="18"/>
      <c r="D13" s="18">
        <v>4.9785698019384598E-11</v>
      </c>
      <c r="E13" s="18"/>
      <c r="F13" s="18"/>
      <c r="G13" s="18">
        <v>4.9785698019384598E-11</v>
      </c>
      <c r="H13" t="s">
        <v>72</v>
      </c>
      <c r="J13" s="8"/>
    </row>
    <row r="14" spans="1:10" x14ac:dyDescent="0.25">
      <c r="A14" s="5" t="s">
        <v>143</v>
      </c>
      <c r="B14" s="18"/>
      <c r="C14" s="18"/>
      <c r="D14" s="18">
        <v>5.06694941445214E-11</v>
      </c>
      <c r="E14" s="18"/>
      <c r="F14" s="18"/>
      <c r="G14" s="18">
        <v>5.06694941445214E-11</v>
      </c>
      <c r="H14" t="s">
        <v>88</v>
      </c>
      <c r="J14" s="8"/>
    </row>
    <row r="15" spans="1:10" x14ac:dyDescent="0.25">
      <c r="A15" s="5" t="s">
        <v>144</v>
      </c>
      <c r="B15" s="18"/>
      <c r="C15" s="18"/>
      <c r="D15" s="18">
        <v>4.9785698019384598E-11</v>
      </c>
      <c r="E15" s="18"/>
      <c r="F15" s="18"/>
      <c r="G15" s="18">
        <v>4.9785698019384598E-11</v>
      </c>
      <c r="H15" t="s">
        <v>67</v>
      </c>
      <c r="I15">
        <v>5669.0276061323102</v>
      </c>
      <c r="J15" s="8"/>
    </row>
    <row r="16" spans="1:10" x14ac:dyDescent="0.25">
      <c r="A16" s="4" t="s">
        <v>92</v>
      </c>
      <c r="B16" s="18"/>
      <c r="C16" s="18"/>
      <c r="D16" s="18"/>
      <c r="E16" s="18"/>
      <c r="F16" s="18"/>
      <c r="G16" s="18"/>
      <c r="H16" t="s">
        <v>68</v>
      </c>
      <c r="I16">
        <v>5692.73029790684</v>
      </c>
      <c r="J16" s="8">
        <f>I44/(I23-I16)</f>
        <v>1.0000000000000173</v>
      </c>
    </row>
    <row r="17" spans="1:10" x14ac:dyDescent="0.25">
      <c r="A17" s="5" t="s">
        <v>141</v>
      </c>
      <c r="B17" s="18"/>
      <c r="C17" s="18"/>
      <c r="D17" s="18">
        <v>15960.645167299999</v>
      </c>
      <c r="E17" s="18"/>
      <c r="F17" s="18"/>
      <c r="G17" s="18">
        <v>15960.645167299999</v>
      </c>
      <c r="H17" t="s">
        <v>89</v>
      </c>
      <c r="I17">
        <v>5692.73029790684</v>
      </c>
      <c r="J17" s="8">
        <f>I45/(I24-I17)</f>
        <v>1.0000000000000173</v>
      </c>
    </row>
    <row r="18" spans="1:10" x14ac:dyDescent="0.25">
      <c r="A18" s="5" t="s">
        <v>142</v>
      </c>
      <c r="B18" s="18"/>
      <c r="C18" s="18"/>
      <c r="D18" s="18">
        <v>15960.645167299999</v>
      </c>
      <c r="E18" s="18"/>
      <c r="F18" s="18"/>
      <c r="G18" s="18">
        <v>15960.645167299999</v>
      </c>
      <c r="H18" t="s">
        <v>90</v>
      </c>
      <c r="I18">
        <v>5692.73029790684</v>
      </c>
      <c r="J18" s="8">
        <f>I46/(I25-I18)</f>
        <v>1.0000000000000173</v>
      </c>
    </row>
    <row r="19" spans="1:10" x14ac:dyDescent="0.25">
      <c r="A19" s="5" t="s">
        <v>143</v>
      </c>
      <c r="B19" s="18"/>
      <c r="C19" s="18"/>
      <c r="D19" s="18">
        <v>15960.645167299999</v>
      </c>
      <c r="E19" s="18"/>
      <c r="F19" s="18"/>
      <c r="G19" s="18">
        <v>15960.645167299999</v>
      </c>
      <c r="H19" t="s">
        <v>106</v>
      </c>
      <c r="I19">
        <v>5669.0276061393697</v>
      </c>
      <c r="J19" s="8">
        <f>I47/(I26-I19)</f>
        <v>1.0000000000000124</v>
      </c>
    </row>
    <row r="20" spans="1:10" x14ac:dyDescent="0.25">
      <c r="A20" s="5" t="s">
        <v>144</v>
      </c>
      <c r="B20" s="18"/>
      <c r="C20" s="18"/>
      <c r="D20" s="18">
        <v>15960.645167299999</v>
      </c>
      <c r="E20" s="18"/>
      <c r="F20" s="18"/>
      <c r="G20" s="18">
        <v>15960.645167299999</v>
      </c>
      <c r="H20" t="s">
        <v>92</v>
      </c>
    </row>
    <row r="21" spans="1:10" x14ac:dyDescent="0.25">
      <c r="A21" s="4" t="s">
        <v>91</v>
      </c>
      <c r="B21" s="18"/>
      <c r="C21" s="18"/>
      <c r="D21" s="18"/>
      <c r="E21" s="18"/>
      <c r="F21" s="18"/>
      <c r="G21" s="18"/>
      <c r="H21" t="s">
        <v>88</v>
      </c>
    </row>
    <row r="22" spans="1:10" x14ac:dyDescent="0.25">
      <c r="A22" s="5" t="s">
        <v>141</v>
      </c>
      <c r="B22" s="18"/>
      <c r="C22" s="18"/>
      <c r="D22" s="18">
        <v>26485.519375757402</v>
      </c>
      <c r="E22" s="18"/>
      <c r="F22" s="18"/>
      <c r="G22" s="18">
        <v>26485.519375757402</v>
      </c>
      <c r="H22" t="s">
        <v>67</v>
      </c>
    </row>
    <row r="23" spans="1:10" x14ac:dyDescent="0.25">
      <c r="A23" s="5" t="s">
        <v>142</v>
      </c>
      <c r="B23" s="18"/>
      <c r="C23" s="18"/>
      <c r="D23" s="18">
        <v>26485.519375757402</v>
      </c>
      <c r="E23" s="18"/>
      <c r="F23" s="18"/>
      <c r="G23" s="18">
        <v>26485.519375757402</v>
      </c>
      <c r="H23" t="s">
        <v>68</v>
      </c>
      <c r="I23">
        <v>19532.6634276609</v>
      </c>
    </row>
    <row r="24" spans="1:10" x14ac:dyDescent="0.25">
      <c r="A24" s="5" t="s">
        <v>143</v>
      </c>
      <c r="B24" s="18"/>
      <c r="C24" s="18"/>
      <c r="D24" s="18">
        <v>26485.519375757402</v>
      </c>
      <c r="E24" s="18"/>
      <c r="F24" s="18"/>
      <c r="G24" s="18">
        <v>26485.519375757402</v>
      </c>
      <c r="H24" t="s">
        <v>89</v>
      </c>
      <c r="I24">
        <v>19532.6634276609</v>
      </c>
    </row>
    <row r="25" spans="1:10" x14ac:dyDescent="0.25">
      <c r="A25" s="5" t="s">
        <v>144</v>
      </c>
      <c r="B25" s="18"/>
      <c r="C25" s="18"/>
      <c r="D25" s="18">
        <v>26485.519375757402</v>
      </c>
      <c r="E25" s="18"/>
      <c r="F25" s="18"/>
      <c r="G25" s="18">
        <v>26485.519375757402</v>
      </c>
      <c r="H25" t="s">
        <v>90</v>
      </c>
      <c r="I25">
        <v>19532.6634276609</v>
      </c>
    </row>
    <row r="26" spans="1:10" x14ac:dyDescent="0.25">
      <c r="A26" s="4" t="s">
        <v>78</v>
      </c>
      <c r="B26" s="18"/>
      <c r="C26" s="18"/>
      <c r="D26" s="18"/>
      <c r="E26" s="18"/>
      <c r="F26" s="18"/>
      <c r="G26" s="18"/>
      <c r="H26" t="s">
        <v>106</v>
      </c>
      <c r="I26">
        <v>19532.6634276609</v>
      </c>
    </row>
    <row r="27" spans="1:10" x14ac:dyDescent="0.25">
      <c r="A27" s="5" t="s">
        <v>141</v>
      </c>
      <c r="B27" s="18"/>
      <c r="C27" s="18"/>
      <c r="D27" s="18">
        <v>26485.5693079794</v>
      </c>
      <c r="E27" s="18"/>
      <c r="F27" s="18"/>
      <c r="G27" s="18">
        <v>26485.5693079794</v>
      </c>
      <c r="H27" t="s">
        <v>91</v>
      </c>
    </row>
    <row r="28" spans="1:10" x14ac:dyDescent="0.25">
      <c r="A28" s="5" t="s">
        <v>142</v>
      </c>
      <c r="B28" s="18"/>
      <c r="C28" s="18"/>
      <c r="D28" s="18">
        <v>26485.578272131999</v>
      </c>
      <c r="E28" s="18"/>
      <c r="F28" s="18"/>
      <c r="G28" s="18">
        <v>26485.578272131999</v>
      </c>
      <c r="H28" t="s">
        <v>88</v>
      </c>
    </row>
    <row r="29" spans="1:10" x14ac:dyDescent="0.25">
      <c r="A29" s="5" t="s">
        <v>143</v>
      </c>
      <c r="B29" s="18"/>
      <c r="C29" s="18"/>
      <c r="D29" s="18">
        <v>26485.5693079794</v>
      </c>
      <c r="E29" s="18"/>
      <c r="F29" s="18"/>
      <c r="G29" s="18">
        <v>26485.5693079794</v>
      </c>
      <c r="H29" t="s">
        <v>67</v>
      </c>
    </row>
    <row r="30" spans="1:10" x14ac:dyDescent="0.25">
      <c r="A30" s="5" t="s">
        <v>144</v>
      </c>
      <c r="B30" s="18"/>
      <c r="C30" s="18"/>
      <c r="D30" s="18">
        <v>26485.578272131999</v>
      </c>
      <c r="E30" s="18"/>
      <c r="F30" s="18"/>
      <c r="G30" s="18">
        <v>26485.578272131999</v>
      </c>
      <c r="H30" t="s">
        <v>68</v>
      </c>
      <c r="I30">
        <v>17819.3606137188</v>
      </c>
    </row>
    <row r="31" spans="1:10" x14ac:dyDescent="0.25">
      <c r="A31" s="4" t="s">
        <v>75</v>
      </c>
      <c r="B31" s="18"/>
      <c r="C31" s="18"/>
      <c r="D31" s="18"/>
      <c r="E31" s="18"/>
      <c r="F31" s="18"/>
      <c r="G31" s="18"/>
      <c r="H31" t="s">
        <v>89</v>
      </c>
      <c r="I31">
        <v>17819.3606137188</v>
      </c>
    </row>
    <row r="32" spans="1:10" x14ac:dyDescent="0.25">
      <c r="A32" s="5" t="s">
        <v>141</v>
      </c>
      <c r="B32" s="18"/>
      <c r="C32" s="18"/>
      <c r="D32" s="18">
        <v>15960.6511868324</v>
      </c>
      <c r="E32" s="18"/>
      <c r="F32" s="18"/>
      <c r="G32" s="18">
        <v>15960.6511868324</v>
      </c>
      <c r="H32" t="s">
        <v>90</v>
      </c>
      <c r="I32">
        <v>17819.3606137188</v>
      </c>
    </row>
    <row r="33" spans="1:9" x14ac:dyDescent="0.25">
      <c r="A33" s="5" t="s">
        <v>142</v>
      </c>
      <c r="B33" s="18"/>
      <c r="C33" s="18"/>
      <c r="D33" s="18">
        <v>15960.6498561479</v>
      </c>
      <c r="E33" s="18"/>
      <c r="F33" s="18"/>
      <c r="G33" s="18">
        <v>15960.6498561479</v>
      </c>
      <c r="H33" t="s">
        <v>106</v>
      </c>
      <c r="I33">
        <v>17819.3606137188</v>
      </c>
    </row>
    <row r="34" spans="1:9" x14ac:dyDescent="0.25">
      <c r="A34" s="5" t="s">
        <v>143</v>
      </c>
      <c r="B34" s="18"/>
      <c r="C34" s="18"/>
      <c r="D34" s="18">
        <v>15960.6511868324</v>
      </c>
      <c r="E34" s="18"/>
      <c r="F34" s="18"/>
      <c r="G34" s="18">
        <v>15960.6511868324</v>
      </c>
      <c r="H34" t="s">
        <v>78</v>
      </c>
    </row>
    <row r="35" spans="1:9" x14ac:dyDescent="0.25">
      <c r="A35" s="5" t="s">
        <v>144</v>
      </c>
      <c r="B35" s="18"/>
      <c r="C35" s="18"/>
      <c r="D35" s="18">
        <v>15960.6498561479</v>
      </c>
      <c r="E35" s="18"/>
      <c r="F35" s="18"/>
      <c r="G35" s="18">
        <v>15960.6498561479</v>
      </c>
      <c r="H35" t="s">
        <v>88</v>
      </c>
    </row>
    <row r="36" spans="1:9" x14ac:dyDescent="0.25">
      <c r="A36" s="3" t="s">
        <v>110</v>
      </c>
      <c r="B36" s="18"/>
      <c r="C36" s="18"/>
      <c r="D36" s="18">
        <v>1.8933140893612862E-10</v>
      </c>
      <c r="E36" s="18"/>
      <c r="F36" s="18"/>
      <c r="G36" s="18">
        <v>1.8933140893612862E-10</v>
      </c>
      <c r="H36" t="s">
        <v>67</v>
      </c>
      <c r="I36">
        <v>12150.3330075824</v>
      </c>
    </row>
    <row r="37" spans="1:9" x14ac:dyDescent="0.25">
      <c r="A37" s="3" t="s">
        <v>107</v>
      </c>
      <c r="B37" s="18"/>
      <c r="C37" s="18"/>
      <c r="D37" s="18">
        <v>2.0091038432781198E-10</v>
      </c>
      <c r="E37" s="18"/>
      <c r="F37" s="18"/>
      <c r="G37" s="18">
        <v>2.0091038432781198E-10</v>
      </c>
      <c r="H37" t="s">
        <v>68</v>
      </c>
      <c r="I37">
        <v>13863.6358215208</v>
      </c>
    </row>
    <row r="38" spans="1:9" x14ac:dyDescent="0.25">
      <c r="A38" s="3" t="s">
        <v>98</v>
      </c>
      <c r="B38" s="18"/>
      <c r="C38" s="18"/>
      <c r="D38" s="18">
        <v>63842.580669199997</v>
      </c>
      <c r="E38" s="18"/>
      <c r="F38" s="18"/>
      <c r="G38" s="18">
        <v>63842.580669199997</v>
      </c>
      <c r="H38" t="s">
        <v>89</v>
      </c>
      <c r="I38">
        <v>13863.6358215208</v>
      </c>
    </row>
    <row r="39" spans="1:9" x14ac:dyDescent="0.25">
      <c r="A39" s="3" t="s">
        <v>99</v>
      </c>
      <c r="B39" s="18"/>
      <c r="C39" s="18"/>
      <c r="D39" s="18">
        <v>105942.07750302961</v>
      </c>
      <c r="E39" s="18"/>
      <c r="F39" s="18"/>
      <c r="G39" s="18">
        <v>105942.07750302961</v>
      </c>
      <c r="H39" t="s">
        <v>90</v>
      </c>
      <c r="I39">
        <v>13863.6358215208</v>
      </c>
    </row>
    <row r="40" spans="1:9" x14ac:dyDescent="0.25">
      <c r="A40" s="3" t="s">
        <v>100</v>
      </c>
      <c r="B40" s="18"/>
      <c r="C40" s="18"/>
      <c r="D40" s="18">
        <v>105942.2951602228</v>
      </c>
      <c r="E40" s="18"/>
      <c r="F40" s="18"/>
      <c r="G40" s="18">
        <v>105942.2951602228</v>
      </c>
      <c r="H40" t="s">
        <v>106</v>
      </c>
      <c r="I40">
        <v>12150.333007577099</v>
      </c>
    </row>
    <row r="41" spans="1:9" x14ac:dyDescent="0.25">
      <c r="A41" s="3" t="s">
        <v>101</v>
      </c>
      <c r="B41" s="18"/>
      <c r="C41" s="18"/>
      <c r="D41" s="18">
        <v>63842.6020859606</v>
      </c>
      <c r="E41" s="18"/>
      <c r="F41" s="18"/>
      <c r="G41" s="18">
        <v>63842.6020859606</v>
      </c>
      <c r="H41" t="s">
        <v>75</v>
      </c>
    </row>
    <row r="42" spans="1:9" x14ac:dyDescent="0.25">
      <c r="A42" s="3" t="s">
        <v>47</v>
      </c>
      <c r="B42" s="18"/>
      <c r="C42" s="18"/>
      <c r="D42" s="18"/>
      <c r="E42" s="18"/>
      <c r="F42" s="18"/>
      <c r="G42" s="18"/>
      <c r="H42" t="s">
        <v>88</v>
      </c>
    </row>
    <row r="43" spans="1:9" x14ac:dyDescent="0.25">
      <c r="A43" s="4" t="s">
        <v>76</v>
      </c>
      <c r="B43" s="18"/>
      <c r="C43" s="18"/>
      <c r="D43" s="18"/>
      <c r="E43" s="18"/>
      <c r="F43" s="18"/>
      <c r="G43" s="18"/>
      <c r="H43" t="s">
        <v>67</v>
      </c>
      <c r="I43">
        <v>13863.6358215284</v>
      </c>
    </row>
    <row r="44" spans="1:9" x14ac:dyDescent="0.25">
      <c r="A44" s="5" t="s">
        <v>140</v>
      </c>
      <c r="B44" s="18"/>
      <c r="C44" s="18"/>
      <c r="D44" s="18"/>
      <c r="E44" s="18"/>
      <c r="F44" s="18"/>
      <c r="G44" s="18"/>
      <c r="H44" t="s">
        <v>68</v>
      </c>
      <c r="I44">
        <v>13839.933129754299</v>
      </c>
    </row>
    <row r="45" spans="1:9" x14ac:dyDescent="0.25">
      <c r="A45" s="4" t="s">
        <v>72</v>
      </c>
      <c r="B45" s="18"/>
      <c r="C45" s="18"/>
      <c r="D45" s="18"/>
      <c r="E45" s="18"/>
      <c r="F45" s="18"/>
      <c r="G45" s="18"/>
      <c r="H45" t="s">
        <v>89</v>
      </c>
      <c r="I45">
        <v>13839.933129754299</v>
      </c>
    </row>
    <row r="46" spans="1:9" x14ac:dyDescent="0.25">
      <c r="A46" s="5" t="s">
        <v>140</v>
      </c>
      <c r="B46" s="18"/>
      <c r="C46" s="18"/>
      <c r="D46" s="18"/>
      <c r="E46" s="18"/>
      <c r="F46" s="18"/>
      <c r="G46" s="18"/>
      <c r="H46" t="s">
        <v>90</v>
      </c>
      <c r="I46">
        <v>13839.933129754299</v>
      </c>
    </row>
    <row r="47" spans="1:9" x14ac:dyDescent="0.25">
      <c r="A47" s="4" t="s">
        <v>92</v>
      </c>
      <c r="B47" s="18"/>
      <c r="C47" s="18"/>
      <c r="D47" s="18"/>
      <c r="E47" s="18"/>
      <c r="F47" s="18"/>
      <c r="G47" s="18"/>
      <c r="H47" t="s">
        <v>106</v>
      </c>
      <c r="I47">
        <v>13863.635821521701</v>
      </c>
    </row>
    <row r="48" spans="1:9" x14ac:dyDescent="0.25">
      <c r="A48" s="5" t="s">
        <v>140</v>
      </c>
      <c r="B48" s="18"/>
      <c r="C48" s="18"/>
      <c r="D48" s="18"/>
      <c r="E48" s="18"/>
      <c r="F48" s="18"/>
      <c r="G48" s="18"/>
    </row>
    <row r="49" spans="1:7" x14ac:dyDescent="0.25">
      <c r="A49" s="4" t="s">
        <v>91</v>
      </c>
      <c r="B49" s="18"/>
      <c r="C49" s="18"/>
      <c r="D49" s="18"/>
      <c r="E49" s="18"/>
      <c r="F49" s="18"/>
      <c r="G49" s="18"/>
    </row>
    <row r="50" spans="1:7" x14ac:dyDescent="0.25">
      <c r="A50" s="5" t="s">
        <v>140</v>
      </c>
      <c r="B50" s="18"/>
      <c r="C50" s="18"/>
      <c r="D50" s="18"/>
      <c r="E50" s="18"/>
      <c r="F50" s="18"/>
      <c r="G50" s="18"/>
    </row>
    <row r="51" spans="1:7" x14ac:dyDescent="0.25">
      <c r="A51" s="4" t="s">
        <v>78</v>
      </c>
      <c r="B51" s="18"/>
      <c r="C51" s="18"/>
      <c r="D51" s="18"/>
      <c r="E51" s="18"/>
      <c r="F51" s="18"/>
      <c r="G51" s="18"/>
    </row>
    <row r="52" spans="1:7" x14ac:dyDescent="0.25">
      <c r="A52" s="5" t="s">
        <v>140</v>
      </c>
      <c r="B52" s="18"/>
      <c r="C52" s="18"/>
      <c r="D52" s="18"/>
      <c r="E52" s="18"/>
      <c r="F52" s="18"/>
      <c r="G52" s="18"/>
    </row>
    <row r="53" spans="1:7" x14ac:dyDescent="0.25">
      <c r="A53" s="4" t="s">
        <v>75</v>
      </c>
      <c r="B53" s="18"/>
      <c r="C53" s="18"/>
      <c r="D53" s="18"/>
      <c r="E53" s="18"/>
      <c r="F53" s="18"/>
      <c r="G53" s="18"/>
    </row>
    <row r="54" spans="1:7" x14ac:dyDescent="0.25">
      <c r="A54" s="5" t="s">
        <v>140</v>
      </c>
      <c r="B54" s="18"/>
      <c r="C54" s="18"/>
      <c r="D54" s="18"/>
      <c r="E54" s="18"/>
      <c r="F54" s="18"/>
      <c r="G54" s="18"/>
    </row>
    <row r="55" spans="1:7" x14ac:dyDescent="0.25">
      <c r="A55" s="3" t="s">
        <v>111</v>
      </c>
      <c r="B55" s="18"/>
      <c r="C55" s="18"/>
      <c r="D55" s="18"/>
      <c r="E55" s="18"/>
      <c r="F55" s="18"/>
      <c r="G55" s="18"/>
    </row>
    <row r="56" spans="1:7" x14ac:dyDescent="0.25">
      <c r="A56" s="3" t="s">
        <v>108</v>
      </c>
      <c r="B56" s="18"/>
      <c r="C56" s="18"/>
      <c r="D56" s="18"/>
      <c r="E56" s="18"/>
      <c r="F56" s="18"/>
      <c r="G56" s="18"/>
    </row>
    <row r="57" spans="1:7" x14ac:dyDescent="0.25">
      <c r="A57" s="3" t="s">
        <v>102</v>
      </c>
      <c r="B57" s="18"/>
      <c r="C57" s="18"/>
      <c r="D57" s="18"/>
      <c r="E57" s="18"/>
      <c r="F57" s="18"/>
      <c r="G57" s="18"/>
    </row>
    <row r="58" spans="1:7" x14ac:dyDescent="0.25">
      <c r="A58" s="3" t="s">
        <v>103</v>
      </c>
      <c r="B58" s="18"/>
      <c r="C58" s="18"/>
      <c r="D58" s="18"/>
      <c r="E58" s="18"/>
      <c r="F58" s="18"/>
      <c r="G58" s="18"/>
    </row>
    <row r="59" spans="1:7" x14ac:dyDescent="0.25">
      <c r="A59" s="3" t="s">
        <v>104</v>
      </c>
      <c r="B59" s="18"/>
      <c r="C59" s="18"/>
      <c r="D59" s="18"/>
      <c r="E59" s="18"/>
      <c r="F59" s="18"/>
      <c r="G59" s="18"/>
    </row>
    <row r="60" spans="1:7" x14ac:dyDescent="0.25">
      <c r="A60" s="3" t="s">
        <v>105</v>
      </c>
      <c r="B60" s="18"/>
      <c r="C60" s="18"/>
      <c r="D60" s="18"/>
      <c r="E60" s="18"/>
      <c r="F60" s="18"/>
      <c r="G60" s="18"/>
    </row>
    <row r="61" spans="1:7" x14ac:dyDescent="0.25">
      <c r="A61" s="3" t="s">
        <v>131</v>
      </c>
      <c r="B61" s="18"/>
      <c r="C61" s="18"/>
      <c r="D61" s="18"/>
      <c r="E61" s="18"/>
      <c r="F61" s="18"/>
      <c r="G61" s="18"/>
    </row>
    <row r="62" spans="1:7" x14ac:dyDescent="0.25">
      <c r="A62" s="4" t="s">
        <v>76</v>
      </c>
      <c r="B62" s="18"/>
      <c r="C62" s="18"/>
      <c r="D62" s="18"/>
      <c r="E62" s="18"/>
      <c r="F62" s="18"/>
      <c r="G62" s="18"/>
    </row>
    <row r="63" spans="1:7" x14ac:dyDescent="0.25">
      <c r="A63" s="5" t="s">
        <v>131</v>
      </c>
      <c r="B63" s="18"/>
      <c r="C63" s="18"/>
      <c r="D63" s="18"/>
      <c r="E63" s="18"/>
      <c r="F63" s="18"/>
      <c r="G63" s="18"/>
    </row>
    <row r="64" spans="1:7" x14ac:dyDescent="0.25">
      <c r="A64" s="4" t="s">
        <v>72</v>
      </c>
      <c r="B64" s="18"/>
      <c r="C64" s="18"/>
      <c r="D64" s="18"/>
      <c r="E64" s="18"/>
      <c r="F64" s="18"/>
      <c r="G64" s="18"/>
    </row>
    <row r="65" spans="1:7" x14ac:dyDescent="0.25">
      <c r="A65" s="5" t="s">
        <v>131</v>
      </c>
      <c r="B65" s="18"/>
      <c r="C65" s="18"/>
      <c r="D65" s="18"/>
      <c r="E65" s="18"/>
      <c r="F65" s="18"/>
      <c r="G65" s="18"/>
    </row>
    <row r="66" spans="1:7" x14ac:dyDescent="0.25">
      <c r="A66" s="4" t="s">
        <v>92</v>
      </c>
      <c r="B66" s="18"/>
      <c r="C66" s="18"/>
      <c r="D66" s="18"/>
      <c r="E66" s="18"/>
      <c r="F66" s="18"/>
      <c r="G66" s="18"/>
    </row>
    <row r="67" spans="1:7" x14ac:dyDescent="0.25">
      <c r="A67" s="5" t="s">
        <v>131</v>
      </c>
      <c r="B67" s="18"/>
      <c r="C67" s="18"/>
      <c r="D67" s="18"/>
      <c r="E67" s="18"/>
      <c r="F67" s="18"/>
      <c r="G67" s="18"/>
    </row>
    <row r="68" spans="1:7" x14ac:dyDescent="0.25">
      <c r="A68" s="4" t="s">
        <v>91</v>
      </c>
      <c r="B68" s="18"/>
      <c r="C68" s="18"/>
      <c r="D68" s="18"/>
      <c r="E68" s="18"/>
      <c r="F68" s="18"/>
      <c r="G68" s="18"/>
    </row>
    <row r="69" spans="1:7" x14ac:dyDescent="0.25">
      <c r="A69" s="5" t="s">
        <v>131</v>
      </c>
      <c r="B69" s="18"/>
      <c r="C69" s="18"/>
      <c r="D69" s="18"/>
      <c r="E69" s="18"/>
      <c r="F69" s="18"/>
      <c r="G69" s="18"/>
    </row>
    <row r="70" spans="1:7" x14ac:dyDescent="0.25">
      <c r="A70" s="4" t="s">
        <v>78</v>
      </c>
      <c r="B70" s="18"/>
      <c r="C70" s="18"/>
      <c r="D70" s="18"/>
      <c r="E70" s="18"/>
      <c r="F70" s="18"/>
      <c r="G70" s="18"/>
    </row>
    <row r="71" spans="1:7" x14ac:dyDescent="0.25">
      <c r="A71" s="5" t="s">
        <v>131</v>
      </c>
      <c r="B71" s="18"/>
      <c r="C71" s="18"/>
      <c r="D71" s="18"/>
      <c r="E71" s="18"/>
      <c r="F71" s="18"/>
      <c r="G71" s="18"/>
    </row>
    <row r="72" spans="1:7" x14ac:dyDescent="0.25">
      <c r="A72" s="4" t="s">
        <v>75</v>
      </c>
      <c r="B72" s="18"/>
      <c r="C72" s="18"/>
      <c r="D72" s="18"/>
      <c r="E72" s="18"/>
      <c r="F72" s="18"/>
      <c r="G72" s="18"/>
    </row>
    <row r="73" spans="1:7" x14ac:dyDescent="0.25">
      <c r="A73" s="5" t="s">
        <v>131</v>
      </c>
      <c r="B73" s="18"/>
      <c r="C73" s="18"/>
      <c r="D73" s="18"/>
      <c r="E73" s="18"/>
      <c r="F73" s="18"/>
      <c r="G73" s="18"/>
    </row>
    <row r="74" spans="1:7" x14ac:dyDescent="0.25">
      <c r="A74" s="3" t="s">
        <v>132</v>
      </c>
      <c r="B74" s="18"/>
      <c r="C74" s="18"/>
      <c r="D74" s="18"/>
      <c r="E74" s="18"/>
      <c r="F74" s="18"/>
      <c r="G74" s="18"/>
    </row>
    <row r="75" spans="1:7" x14ac:dyDescent="0.25">
      <c r="A75" s="3" t="s">
        <v>133</v>
      </c>
      <c r="B75" s="18"/>
      <c r="C75" s="18"/>
      <c r="D75" s="18"/>
      <c r="E75" s="18"/>
      <c r="F75" s="18"/>
      <c r="G75" s="18"/>
    </row>
    <row r="76" spans="1:7" x14ac:dyDescent="0.25">
      <c r="A76" s="3" t="s">
        <v>134</v>
      </c>
      <c r="B76" s="18"/>
      <c r="C76" s="18"/>
      <c r="D76" s="18"/>
      <c r="E76" s="18"/>
      <c r="F76" s="18"/>
      <c r="G76" s="18"/>
    </row>
    <row r="77" spans="1:7" x14ac:dyDescent="0.25">
      <c r="A77" s="3" t="s">
        <v>135</v>
      </c>
      <c r="B77" s="18"/>
      <c r="C77" s="18"/>
      <c r="D77" s="18"/>
      <c r="E77" s="18"/>
      <c r="F77" s="18"/>
      <c r="G77" s="18"/>
    </row>
    <row r="78" spans="1:7" x14ac:dyDescent="0.25">
      <c r="A78" s="3" t="s">
        <v>136</v>
      </c>
      <c r="B78" s="18"/>
      <c r="C78" s="18"/>
      <c r="D78" s="18"/>
      <c r="E78" s="18"/>
      <c r="F78" s="18"/>
      <c r="G78" s="18"/>
    </row>
    <row r="79" spans="1:7" x14ac:dyDescent="0.25">
      <c r="A79" s="3" t="s">
        <v>137</v>
      </c>
      <c r="B79" s="18"/>
      <c r="C79" s="18"/>
      <c r="D79" s="18"/>
      <c r="E79" s="18"/>
      <c r="F79" s="18"/>
      <c r="G79" s="18"/>
    </row>
    <row r="80" spans="1:7" x14ac:dyDescent="0.25">
      <c r="A80" s="3" t="s">
        <v>112</v>
      </c>
      <c r="B80" s="18"/>
      <c r="C80" s="18"/>
      <c r="D80" s="18">
        <v>1.8933140893612862E-10</v>
      </c>
      <c r="E80" s="18"/>
      <c r="F80" s="18"/>
      <c r="G80" s="18">
        <v>1.8933140893612862E-10</v>
      </c>
    </row>
    <row r="81" spans="1:7" x14ac:dyDescent="0.25">
      <c r="A81" s="3" t="s">
        <v>109</v>
      </c>
      <c r="B81" s="18"/>
      <c r="C81" s="18"/>
      <c r="D81" s="18">
        <v>2.0091038432781198E-10</v>
      </c>
      <c r="E81" s="18"/>
      <c r="F81" s="18"/>
      <c r="G81" s="18">
        <v>2.0091038432781198E-10</v>
      </c>
    </row>
    <row r="82" spans="1:7" x14ac:dyDescent="0.25">
      <c r="A82" s="3" t="s">
        <v>94</v>
      </c>
      <c r="B82" s="18"/>
      <c r="C82" s="18"/>
      <c r="D82" s="18">
        <v>63842.580669199997</v>
      </c>
      <c r="E82" s="18"/>
      <c r="F82" s="18"/>
      <c r="G82" s="18">
        <v>63842.580669199997</v>
      </c>
    </row>
    <row r="83" spans="1:7" x14ac:dyDescent="0.25">
      <c r="A83" s="3" t="s">
        <v>95</v>
      </c>
      <c r="B83" s="18"/>
      <c r="C83" s="18"/>
      <c r="D83" s="18">
        <v>105942.07750302961</v>
      </c>
      <c r="E83" s="18"/>
      <c r="F83" s="18"/>
      <c r="G83" s="18">
        <v>105942.07750302961</v>
      </c>
    </row>
    <row r="84" spans="1:7" x14ac:dyDescent="0.25">
      <c r="A84" s="3" t="s">
        <v>96</v>
      </c>
      <c r="B84" s="18"/>
      <c r="C84" s="18"/>
      <c r="D84" s="18">
        <v>105942.2951602228</v>
      </c>
      <c r="E84" s="18"/>
      <c r="F84" s="18"/>
      <c r="G84" s="18">
        <v>105942.2951602228</v>
      </c>
    </row>
    <row r="85" spans="1:7" x14ac:dyDescent="0.25">
      <c r="A85" s="3" t="s">
        <v>97</v>
      </c>
      <c r="B85" s="18"/>
      <c r="C85" s="18"/>
      <c r="D85" s="18">
        <v>63842.6020859606</v>
      </c>
      <c r="E85" s="18"/>
      <c r="F85" s="18"/>
      <c r="G85" s="18">
        <v>63842.6020859606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7BC9-0358-40C4-8F4F-AC55D776C18B}">
  <dimension ref="A1:O3"/>
  <sheetViews>
    <sheetView workbookViewId="0">
      <selection activeCell="I26" sqref="I26"/>
    </sheetView>
  </sheetViews>
  <sheetFormatPr defaultRowHeight="15" x14ac:dyDescent="0.25"/>
  <cols>
    <col min="1" max="1" width="13.42578125" bestFit="1" customWidth="1"/>
    <col min="2" max="2" width="17.28515625" bestFit="1" customWidth="1"/>
    <col min="3" max="3" width="13.42578125" bestFit="1" customWidth="1"/>
    <col min="4" max="4" width="11.42578125" bestFit="1" customWidth="1"/>
    <col min="5" max="5" width="17.5703125" bestFit="1" customWidth="1"/>
    <col min="6" max="6" width="18.85546875" bestFit="1" customWidth="1"/>
    <col min="7" max="7" width="24.7109375" bestFit="1" customWidth="1"/>
    <col min="8" max="8" width="19.28515625" bestFit="1" customWidth="1"/>
    <col min="9" max="9" width="13.85546875" bestFit="1" customWidth="1"/>
    <col min="10" max="10" width="12.85546875" bestFit="1" customWidth="1"/>
    <col min="11" max="11" width="12.5703125" bestFit="1" customWidth="1"/>
    <col min="12" max="12" width="18.85546875" bestFit="1" customWidth="1"/>
    <col min="13" max="13" width="34.28515625" bestFit="1" customWidth="1"/>
    <col min="14" max="14" width="38.85546875" bestFit="1" customWidth="1"/>
    <col min="15" max="15" width="14" bestFit="1" customWidth="1"/>
    <col min="16" max="16" width="2" bestFit="1" customWidth="1"/>
    <col min="17" max="17" width="7.28515625" bestFit="1" customWidth="1"/>
    <col min="18" max="18" width="13.85546875" bestFit="1" customWidth="1"/>
    <col min="19" max="20" width="8" bestFit="1" customWidth="1"/>
    <col min="21" max="21" width="7.28515625" bestFit="1" customWidth="1"/>
    <col min="22" max="22" width="17.5703125" bestFit="1" customWidth="1"/>
    <col min="23" max="23" width="2" bestFit="1" customWidth="1"/>
    <col min="24" max="24" width="7" bestFit="1" customWidth="1"/>
    <col min="25" max="25" width="7.28515625" bestFit="1" customWidth="1"/>
    <col min="26" max="26" width="11.42578125" bestFit="1" customWidth="1"/>
    <col min="27" max="28" width="8" bestFit="1" customWidth="1"/>
    <col min="29" max="29" width="7.28515625" bestFit="1" customWidth="1"/>
    <col min="30" max="30" width="18" bestFit="1" customWidth="1"/>
    <col min="31" max="31" width="7.28515625" bestFit="1" customWidth="1"/>
    <col min="32" max="32" width="17.85546875" bestFit="1" customWidth="1"/>
    <col min="33" max="33" width="18" bestFit="1" customWidth="1"/>
    <col min="34" max="34" width="17.85546875" bestFit="1" customWidth="1"/>
    <col min="35" max="35" width="18" bestFit="1" customWidth="1"/>
    <col min="36" max="36" width="7.28515625" bestFit="1" customWidth="1"/>
  </cols>
  <sheetData>
    <row r="1" spans="1:15" x14ac:dyDescent="0.25">
      <c r="A1" s="2" t="s">
        <v>1</v>
      </c>
      <c r="B1" t="s">
        <v>138</v>
      </c>
    </row>
    <row r="3" spans="1:15" x14ac:dyDescent="0.25">
      <c r="A3" s="2" t="s">
        <v>48</v>
      </c>
      <c r="B3" t="s">
        <v>81</v>
      </c>
      <c r="C3" t="s">
        <v>69</v>
      </c>
      <c r="D3" t="s">
        <v>50</v>
      </c>
      <c r="E3" t="s">
        <v>70</v>
      </c>
      <c r="F3" t="s">
        <v>84</v>
      </c>
      <c r="G3" t="s">
        <v>83</v>
      </c>
      <c r="H3" t="s">
        <v>82</v>
      </c>
      <c r="I3" t="s">
        <v>80</v>
      </c>
      <c r="J3" t="s">
        <v>129</v>
      </c>
      <c r="K3" t="s">
        <v>130</v>
      </c>
      <c r="L3" t="s">
        <v>73</v>
      </c>
      <c r="M3" t="s">
        <v>71</v>
      </c>
      <c r="N3" t="s">
        <v>86</v>
      </c>
      <c r="O3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A1C0-A1AC-4339-A124-D22018DEFEC7}">
  <dimension ref="A1:BD51"/>
  <sheetViews>
    <sheetView workbookViewId="0">
      <selection sqref="A1:BD9"/>
    </sheetView>
  </sheetViews>
  <sheetFormatPr defaultRowHeight="15" x14ac:dyDescent="0.25"/>
  <cols>
    <col min="1" max="1" width="12" bestFit="1" customWidth="1"/>
    <col min="2" max="2" width="17.7109375" bestFit="1" customWidth="1"/>
    <col min="3" max="3" width="41" bestFit="1" customWidth="1"/>
    <col min="4" max="4" width="3.7109375" bestFit="1" customWidth="1"/>
    <col min="5" max="5" width="12" bestFit="1" customWidth="1"/>
    <col min="6" max="6" width="10.7109375" bestFit="1" customWidth="1"/>
    <col min="7" max="7" width="22.7109375" bestFit="1" customWidth="1"/>
    <col min="8" max="8" width="14.140625" bestFit="1" customWidth="1"/>
    <col min="9" max="9" width="20.28515625" bestFit="1" customWidth="1"/>
    <col min="10" max="10" width="11" bestFit="1" customWidth="1"/>
    <col min="11" max="11" width="33.140625" bestFit="1" customWidth="1"/>
    <col min="12" max="12" width="25.42578125" bestFit="1" customWidth="1"/>
    <col min="13" max="13" width="12" bestFit="1" customWidth="1"/>
    <col min="14" max="14" width="14.42578125" bestFit="1" customWidth="1"/>
    <col min="15" max="15" width="12" bestFit="1" customWidth="1"/>
    <col min="16" max="16" width="23.7109375" bestFit="1" customWidth="1"/>
    <col min="17" max="17" width="12.7109375" bestFit="1" customWidth="1"/>
    <col min="18" max="18" width="37.7109375" bestFit="1" customWidth="1"/>
    <col min="19" max="19" width="23.7109375" bestFit="1" customWidth="1"/>
    <col min="20" max="20" width="15.7109375" bestFit="1" customWidth="1"/>
    <col min="21" max="21" width="27.7109375" bestFit="1" customWidth="1"/>
    <col min="22" max="22" width="40.140625" bestFit="1" customWidth="1"/>
    <col min="23" max="23" width="34.28515625" bestFit="1" customWidth="1"/>
    <col min="24" max="24" width="25.42578125" bestFit="1" customWidth="1"/>
    <col min="25" max="25" width="24.42578125" bestFit="1" customWidth="1"/>
    <col min="26" max="26" width="15.7109375" bestFit="1" customWidth="1"/>
    <col min="27" max="27" width="25.140625" bestFit="1" customWidth="1"/>
    <col min="28" max="28" width="10.7109375" bestFit="1" customWidth="1"/>
    <col min="29" max="29" width="12" bestFit="1" customWidth="1"/>
    <col min="30" max="30" width="5.140625" bestFit="1" customWidth="1"/>
    <col min="31" max="31" width="12" bestFit="1" customWidth="1"/>
    <col min="32" max="32" width="22.7109375" bestFit="1" customWidth="1"/>
    <col min="33" max="33" width="17.7109375" bestFit="1" customWidth="1"/>
    <col min="34" max="34" width="34.28515625" bestFit="1" customWidth="1"/>
    <col min="35" max="35" width="17" bestFit="1" customWidth="1"/>
    <col min="36" max="36" width="5.5703125" bestFit="1" customWidth="1"/>
    <col min="37" max="37" width="8.28515625" bestFit="1" customWidth="1"/>
    <col min="38" max="38" width="12" bestFit="1" customWidth="1"/>
    <col min="39" max="39" width="22.140625" bestFit="1" customWidth="1"/>
    <col min="40" max="40" width="12" bestFit="1" customWidth="1"/>
    <col min="41" max="41" width="20" bestFit="1" customWidth="1"/>
    <col min="42" max="42" width="16" bestFit="1" customWidth="1"/>
    <col min="43" max="43" width="12" bestFit="1" customWidth="1"/>
    <col min="44" max="44" width="5" bestFit="1" customWidth="1"/>
    <col min="45" max="45" width="29" bestFit="1" customWidth="1"/>
    <col min="46" max="46" width="30.7109375" bestFit="1" customWidth="1"/>
    <col min="47" max="47" width="34.140625" bestFit="1" customWidth="1"/>
    <col min="48" max="48" width="31.7109375" bestFit="1" customWidth="1"/>
    <col min="49" max="49" width="31.42578125" bestFit="1" customWidth="1"/>
    <col min="50" max="50" width="28.28515625" bestFit="1" customWidth="1"/>
    <col min="51" max="51" width="46.42578125" bestFit="1" customWidth="1"/>
    <col min="52" max="52" width="26.28515625" bestFit="1" customWidth="1"/>
    <col min="53" max="53" width="20.28515625" bestFit="1" customWidth="1"/>
    <col min="54" max="54" width="44" bestFit="1" customWidth="1"/>
    <col min="55" max="55" width="23.85546875" bestFit="1" customWidth="1"/>
    <col min="56" max="56" width="14.8554687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56</v>
      </c>
      <c r="V1" t="s">
        <v>22</v>
      </c>
      <c r="W1" t="s">
        <v>21</v>
      </c>
      <c r="X1" t="s">
        <v>57</v>
      </c>
      <c r="Y1" t="s">
        <v>38</v>
      </c>
      <c r="Z1" t="s">
        <v>24</v>
      </c>
      <c r="AA1" t="s">
        <v>52</v>
      </c>
      <c r="AB1" t="s">
        <v>26</v>
      </c>
      <c r="AC1" t="s">
        <v>23</v>
      </c>
      <c r="AD1" t="s">
        <v>25</v>
      </c>
      <c r="AE1" t="s">
        <v>27</v>
      </c>
      <c r="AF1" t="s">
        <v>53</v>
      </c>
      <c r="AG1" t="s">
        <v>54</v>
      </c>
      <c r="AH1" t="s">
        <v>29</v>
      </c>
      <c r="AI1" t="s">
        <v>28</v>
      </c>
      <c r="AJ1" t="s">
        <v>30</v>
      </c>
      <c r="AK1" t="s">
        <v>31</v>
      </c>
      <c r="AL1" t="s">
        <v>33</v>
      </c>
      <c r="AM1" t="s">
        <v>39</v>
      </c>
      <c r="AN1" t="s">
        <v>32</v>
      </c>
      <c r="AO1" t="s">
        <v>55</v>
      </c>
      <c r="AP1" t="s">
        <v>34</v>
      </c>
      <c r="AQ1" t="s">
        <v>35</v>
      </c>
      <c r="AR1" t="s">
        <v>36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40</v>
      </c>
      <c r="AZ1" t="s">
        <v>64</v>
      </c>
      <c r="BA1" t="s">
        <v>65</v>
      </c>
      <c r="BB1" t="s">
        <v>41</v>
      </c>
      <c r="BC1" t="s">
        <v>66</v>
      </c>
      <c r="BD1" t="s">
        <v>42</v>
      </c>
    </row>
    <row r="2" spans="1:56" x14ac:dyDescent="0.25">
      <c r="A2" t="s">
        <v>44</v>
      </c>
      <c r="B2" t="s">
        <v>141</v>
      </c>
      <c r="C2" t="s">
        <v>45</v>
      </c>
      <c r="D2">
        <v>3</v>
      </c>
      <c r="E2">
        <v>580077.96514476696</v>
      </c>
      <c r="F2">
        <v>0</v>
      </c>
      <c r="G2">
        <v>13875.5574527428</v>
      </c>
      <c r="H2">
        <v>4.2446220494811698E-2</v>
      </c>
      <c r="I2">
        <v>5183.50288876789</v>
      </c>
      <c r="J2">
        <v>12683.699999999901</v>
      </c>
      <c r="L2">
        <v>32.833163571010203</v>
      </c>
      <c r="M2" s="1">
        <v>6.3599741324070796E-8</v>
      </c>
      <c r="N2">
        <v>-10369.786214379699</v>
      </c>
      <c r="O2">
        <v>458389.33884914703</v>
      </c>
      <c r="Q2">
        <v>2313.9137856202601</v>
      </c>
      <c r="S2">
        <v>-8692.0545639749398</v>
      </c>
      <c r="T2">
        <v>454033.27122046897</v>
      </c>
      <c r="U2">
        <v>15960.645167299999</v>
      </c>
      <c r="X2">
        <v>26485.519375757402</v>
      </c>
      <c r="Y2" s="1">
        <v>1.26673735361303E-8</v>
      </c>
      <c r="Z2">
        <v>-121688.626295701</v>
      </c>
      <c r="AA2" s="1">
        <v>5.06694941445214E-11</v>
      </c>
      <c r="AB2" s="1">
        <v>9.98580404388428E-8</v>
      </c>
      <c r="AC2">
        <v>32.833163571010203</v>
      </c>
      <c r="AD2">
        <v>0</v>
      </c>
      <c r="AE2">
        <v>4356.0251823500103</v>
      </c>
      <c r="AF2" s="1">
        <v>4.7749267606354699E-11</v>
      </c>
      <c r="AG2">
        <v>26485.5693079794</v>
      </c>
      <c r="AH2">
        <v>33333.179665678799</v>
      </c>
      <c r="AI2">
        <v>37815.3764554999</v>
      </c>
      <c r="AJ2">
        <v>0.3</v>
      </c>
      <c r="AK2" s="1">
        <v>3.3286013479614199E-9</v>
      </c>
      <c r="AL2">
        <v>458389.29640281998</v>
      </c>
      <c r="AM2" s="1">
        <v>1.1937316901588699E-8</v>
      </c>
      <c r="AN2" s="1">
        <v>6.35997413240708E-12</v>
      </c>
      <c r="AO2">
        <v>15960.6511868324</v>
      </c>
      <c r="AP2">
        <v>42025.234229650203</v>
      </c>
      <c r="AQ2">
        <v>580077.92269852001</v>
      </c>
      <c r="AR2">
        <v>1</v>
      </c>
      <c r="BD2">
        <v>1</v>
      </c>
    </row>
    <row r="3" spans="1:56" x14ac:dyDescent="0.25">
      <c r="A3" t="s">
        <v>44</v>
      </c>
      <c r="B3" t="s">
        <v>143</v>
      </c>
      <c r="C3" t="s">
        <v>45</v>
      </c>
      <c r="D3">
        <v>3</v>
      </c>
      <c r="E3">
        <v>580077.96514476696</v>
      </c>
      <c r="F3">
        <v>0</v>
      </c>
      <c r="G3">
        <v>13875.5574527428</v>
      </c>
      <c r="H3">
        <v>4.2446220494811698E-2</v>
      </c>
      <c r="I3">
        <v>5183.50288876789</v>
      </c>
      <c r="J3">
        <v>12683.699999999901</v>
      </c>
      <c r="L3">
        <v>32.833163571010203</v>
      </c>
      <c r="M3" s="1">
        <v>6.3599741324070796E-8</v>
      </c>
      <c r="N3">
        <v>-10369.786214379699</v>
      </c>
      <c r="O3">
        <v>458389.33884914703</v>
      </c>
      <c r="Q3">
        <v>2313.9137856202601</v>
      </c>
      <c r="S3">
        <v>-8692.0545639749398</v>
      </c>
      <c r="T3">
        <v>454033.27122046897</v>
      </c>
      <c r="U3">
        <v>15960.645167299999</v>
      </c>
      <c r="X3">
        <v>26485.519375757402</v>
      </c>
      <c r="Y3" s="1">
        <v>1.26673735361303E-8</v>
      </c>
      <c r="Z3">
        <v>-121688.626295701</v>
      </c>
      <c r="AA3" s="1">
        <v>5.06694941445214E-11</v>
      </c>
      <c r="AB3" s="1">
        <v>9.98580404388428E-8</v>
      </c>
      <c r="AC3">
        <v>32.833163571010203</v>
      </c>
      <c r="AD3">
        <v>0</v>
      </c>
      <c r="AE3">
        <v>4356.0251823500103</v>
      </c>
      <c r="AF3" s="1">
        <v>4.7749267606354699E-11</v>
      </c>
      <c r="AG3">
        <v>26485.5693079794</v>
      </c>
      <c r="AH3">
        <v>33333.179665678799</v>
      </c>
      <c r="AI3">
        <v>37815.3764554999</v>
      </c>
      <c r="AJ3">
        <v>0.3</v>
      </c>
      <c r="AK3" s="1">
        <v>3.3286013479614199E-9</v>
      </c>
      <c r="AL3">
        <v>458389.29640281998</v>
      </c>
      <c r="AM3" s="1">
        <v>1.1937316901588699E-8</v>
      </c>
      <c r="AN3" s="1">
        <v>6.35997413240708E-12</v>
      </c>
      <c r="AO3">
        <v>15960.6511868324</v>
      </c>
      <c r="AP3">
        <v>42025.234229650203</v>
      </c>
      <c r="AQ3">
        <v>580077.92269852001</v>
      </c>
      <c r="AR3">
        <v>1</v>
      </c>
      <c r="BD3">
        <v>1</v>
      </c>
    </row>
    <row r="4" spans="1:56" x14ac:dyDescent="0.25">
      <c r="A4" t="s">
        <v>44</v>
      </c>
      <c r="B4" t="s">
        <v>142</v>
      </c>
      <c r="C4" t="s">
        <v>45</v>
      </c>
      <c r="D4">
        <v>3</v>
      </c>
      <c r="E4">
        <v>580563.56082947506</v>
      </c>
      <c r="F4">
        <v>0</v>
      </c>
      <c r="G4">
        <v>13906.9014869946</v>
      </c>
      <c r="H4">
        <v>4.2446228128279799E-2</v>
      </c>
      <c r="I4">
        <v>5221.7456791593404</v>
      </c>
      <c r="J4">
        <v>12683.699999999901</v>
      </c>
      <c r="L4">
        <v>32.833163571010203</v>
      </c>
      <c r="M4" s="1">
        <v>4.2334725013055302E-8</v>
      </c>
      <c r="N4">
        <v>-10369.299359577501</v>
      </c>
      <c r="O4">
        <v>458327.21166575397</v>
      </c>
      <c r="Q4">
        <v>2314.4006404224701</v>
      </c>
      <c r="S4">
        <v>-8685.15580783527</v>
      </c>
      <c r="T4">
        <v>453971.14403715701</v>
      </c>
      <c r="U4">
        <v>15960.645167299999</v>
      </c>
      <c r="X4">
        <v>26485.519375757402</v>
      </c>
      <c r="Y4" s="1">
        <v>1.24464245048461E-8</v>
      </c>
      <c r="Z4">
        <v>-122236.349163715</v>
      </c>
      <c r="AA4" s="1">
        <v>4.9785698019384598E-11</v>
      </c>
      <c r="AB4" s="1">
        <v>3.9262411449063E-8</v>
      </c>
      <c r="AC4">
        <v>32.833163571010203</v>
      </c>
      <c r="AD4">
        <v>0</v>
      </c>
      <c r="AE4">
        <v>4356.0251823500103</v>
      </c>
      <c r="AF4" s="1">
        <v>4.6916436861709602E-11</v>
      </c>
      <c r="AG4">
        <v>26485.578272131999</v>
      </c>
      <c r="AH4">
        <v>33340.078421816303</v>
      </c>
      <c r="AI4">
        <v>37815.3764554999</v>
      </c>
      <c r="AJ4">
        <v>0.3</v>
      </c>
      <c r="AK4" s="1">
        <v>1.3087470483021001E-9</v>
      </c>
      <c r="AL4">
        <v>458327.16921950801</v>
      </c>
      <c r="AM4" s="1">
        <v>1.17291092154274E-8</v>
      </c>
      <c r="AN4" s="1">
        <v>4.2334725013055301E-12</v>
      </c>
      <c r="AO4">
        <v>15960.6498561479</v>
      </c>
      <c r="AP4">
        <v>42025.234229650203</v>
      </c>
      <c r="AQ4">
        <v>580563.518383221</v>
      </c>
      <c r="AR4">
        <v>1</v>
      </c>
      <c r="BD4">
        <v>1</v>
      </c>
    </row>
    <row r="5" spans="1:56" x14ac:dyDescent="0.25">
      <c r="A5" t="s">
        <v>44</v>
      </c>
      <c r="B5" t="s">
        <v>144</v>
      </c>
      <c r="C5" t="s">
        <v>45</v>
      </c>
      <c r="D5">
        <v>3</v>
      </c>
      <c r="E5">
        <v>580563.56082947506</v>
      </c>
      <c r="F5">
        <v>0</v>
      </c>
      <c r="G5">
        <v>13906.9014869946</v>
      </c>
      <c r="H5">
        <v>4.2446228128279799E-2</v>
      </c>
      <c r="I5">
        <v>5221.7456791593404</v>
      </c>
      <c r="J5">
        <v>12683.699999999901</v>
      </c>
      <c r="L5">
        <v>32.833163571010203</v>
      </c>
      <c r="M5" s="1">
        <v>4.2334725013055302E-8</v>
      </c>
      <c r="N5">
        <v>-10369.299359577501</v>
      </c>
      <c r="O5">
        <v>458327.21166575397</v>
      </c>
      <c r="Q5">
        <v>2314.4006404224701</v>
      </c>
      <c r="S5">
        <v>-8685.15580783527</v>
      </c>
      <c r="T5">
        <v>453971.14403715701</v>
      </c>
      <c r="U5">
        <v>15960.645167299999</v>
      </c>
      <c r="X5">
        <v>26485.519375757402</v>
      </c>
      <c r="Y5" s="1">
        <v>1.24464245048461E-8</v>
      </c>
      <c r="Z5">
        <v>-122236.349163715</v>
      </c>
      <c r="AA5" s="1">
        <v>4.9785698019384598E-11</v>
      </c>
      <c r="AB5" s="1">
        <v>3.9262411449063E-8</v>
      </c>
      <c r="AC5">
        <v>32.833163571010203</v>
      </c>
      <c r="AD5">
        <v>0</v>
      </c>
      <c r="AE5">
        <v>4356.0251823500103</v>
      </c>
      <c r="AF5" s="1">
        <v>4.6916436861709602E-11</v>
      </c>
      <c r="AG5">
        <v>26485.578272131999</v>
      </c>
      <c r="AH5">
        <v>33340.078421816303</v>
      </c>
      <c r="AI5">
        <v>37815.3764554999</v>
      </c>
      <c r="AJ5">
        <v>0.3</v>
      </c>
      <c r="AK5" s="1">
        <v>1.3087470483021001E-9</v>
      </c>
      <c r="AL5">
        <v>458327.16921950801</v>
      </c>
      <c r="AM5" s="1">
        <v>1.17291092154274E-8</v>
      </c>
      <c r="AN5" s="1">
        <v>4.2334725013055301E-12</v>
      </c>
      <c r="AO5">
        <v>15960.6498561479</v>
      </c>
      <c r="AP5">
        <v>42025.234229650203</v>
      </c>
      <c r="AQ5">
        <v>580563.518383221</v>
      </c>
      <c r="AR5">
        <v>1</v>
      </c>
      <c r="BD5">
        <v>1</v>
      </c>
    </row>
    <row r="6" spans="1:56" x14ac:dyDescent="0.25">
      <c r="A6" t="s">
        <v>47</v>
      </c>
      <c r="B6" t="s">
        <v>140</v>
      </c>
      <c r="C6" t="s">
        <v>45</v>
      </c>
      <c r="D6">
        <v>1</v>
      </c>
      <c r="E6">
        <v>917322.93404850201</v>
      </c>
      <c r="F6">
        <v>0</v>
      </c>
      <c r="G6">
        <v>12782.3886593186</v>
      </c>
      <c r="I6">
        <v>1608.09456491115</v>
      </c>
      <c r="J6">
        <v>12683.699999999901</v>
      </c>
      <c r="L6">
        <v>0</v>
      </c>
      <c r="M6" s="1">
        <v>2.5016503057695701E-8</v>
      </c>
      <c r="N6">
        <v>-12422.821187932101</v>
      </c>
      <c r="O6">
        <v>664037.49390323996</v>
      </c>
      <c r="Q6">
        <v>260.87881206784601</v>
      </c>
      <c r="S6">
        <v>-11174.2940944075</v>
      </c>
      <c r="T6">
        <v>664034.86634491198</v>
      </c>
      <c r="Z6">
        <v>-253285.44014408201</v>
      </c>
      <c r="AB6" s="1">
        <v>1.7645058488990101E-8</v>
      </c>
      <c r="AC6">
        <v>0</v>
      </c>
      <c r="AD6">
        <v>0</v>
      </c>
      <c r="AE6">
        <v>0</v>
      </c>
      <c r="AH6">
        <v>42097.398317588297</v>
      </c>
      <c r="AI6">
        <v>52727.215204199798</v>
      </c>
      <c r="AJ6">
        <v>0</v>
      </c>
      <c r="AK6" s="1">
        <v>5.8816861629967205E-10</v>
      </c>
      <c r="AL6">
        <v>664034.86634491198</v>
      </c>
      <c r="AN6" s="1">
        <v>2.5016503057695699E-12</v>
      </c>
      <c r="AP6">
        <v>53271.6924119951</v>
      </c>
      <c r="AQ6">
        <v>917320.30648899497</v>
      </c>
      <c r="AR6">
        <v>1</v>
      </c>
      <c r="AS6" s="1">
        <v>2.4166745439051501E-10</v>
      </c>
      <c r="AT6" s="1">
        <v>6.0824366254853506E-8</v>
      </c>
      <c r="AU6">
        <v>1483188.1553658501</v>
      </c>
      <c r="AV6">
        <v>1144370.1302225799</v>
      </c>
      <c r="AW6" s="1">
        <v>2.43297465019413E-10</v>
      </c>
      <c r="AX6" s="1">
        <v>6.04168635976285E-8</v>
      </c>
      <c r="AZ6">
        <v>1483188.57290518</v>
      </c>
      <c r="BA6">
        <v>2.6275593845013798</v>
      </c>
      <c r="BC6">
        <v>1144370.8115962101</v>
      </c>
      <c r="BD6">
        <v>1</v>
      </c>
    </row>
    <row r="7" spans="1:56" x14ac:dyDescent="0.25">
      <c r="A7" t="s">
        <v>47</v>
      </c>
      <c r="B7" t="s">
        <v>140</v>
      </c>
      <c r="C7" t="s">
        <v>45</v>
      </c>
      <c r="D7">
        <v>2</v>
      </c>
      <c r="E7">
        <v>673346.72945215704</v>
      </c>
      <c r="F7">
        <v>0</v>
      </c>
      <c r="G7">
        <v>13801.495348434401</v>
      </c>
      <c r="I7">
        <v>3231.4142510962602</v>
      </c>
      <c r="J7">
        <v>12683.699999999901</v>
      </c>
      <c r="L7">
        <v>0</v>
      </c>
      <c r="M7" s="1">
        <v>3.3259463786326399E-8</v>
      </c>
      <c r="N7">
        <v>-12024.9301631047</v>
      </c>
      <c r="O7">
        <v>428805.31247381499</v>
      </c>
      <c r="Q7">
        <v>658.76983689523797</v>
      </c>
      <c r="S7">
        <v>-10570.081097338199</v>
      </c>
      <c r="T7">
        <v>428803.40717261302</v>
      </c>
      <c r="Z7">
        <v>-244541.41592243299</v>
      </c>
      <c r="AB7" s="1">
        <v>2.9045970938982299E-8</v>
      </c>
      <c r="AC7">
        <v>0</v>
      </c>
      <c r="AD7">
        <v>0</v>
      </c>
      <c r="AE7">
        <v>0</v>
      </c>
      <c r="AH7">
        <v>31839.885614918901</v>
      </c>
      <c r="AI7">
        <v>42411.584441999898</v>
      </c>
      <c r="AJ7">
        <v>0</v>
      </c>
      <c r="AK7" s="1">
        <v>9.6819903129941208E-10</v>
      </c>
      <c r="AL7">
        <v>428803.40717261302</v>
      </c>
      <c r="AN7" s="1">
        <v>3.3259463786326399E-12</v>
      </c>
      <c r="AP7">
        <v>42409.966712255598</v>
      </c>
      <c r="AQ7">
        <v>673344.82309504598</v>
      </c>
      <c r="AR7">
        <v>1</v>
      </c>
      <c r="AS7" s="1">
        <v>2.28091476771498E-7</v>
      </c>
      <c r="AT7" s="1">
        <v>5.7050040207366602E-5</v>
      </c>
      <c r="AU7">
        <v>1017636.45181175</v>
      </c>
      <c r="AV7">
        <v>887664.68815806403</v>
      </c>
      <c r="AW7" s="1">
        <v>2.2820016082946701E-7</v>
      </c>
      <c r="AX7" s="1">
        <v>5.7022869192874397E-5</v>
      </c>
      <c r="AZ7">
        <v>1017982.16737817</v>
      </c>
      <c r="BA7">
        <v>1.90624303834805</v>
      </c>
      <c r="BC7">
        <v>888260.87096988701</v>
      </c>
      <c r="BD7">
        <v>1</v>
      </c>
    </row>
    <row r="8" spans="1:56" x14ac:dyDescent="0.25">
      <c r="A8" t="s">
        <v>47</v>
      </c>
      <c r="B8" t="s">
        <v>140</v>
      </c>
      <c r="C8" t="s">
        <v>45</v>
      </c>
      <c r="D8">
        <v>3</v>
      </c>
      <c r="E8">
        <v>570293.67799001199</v>
      </c>
      <c r="F8">
        <v>0</v>
      </c>
      <c r="G8">
        <v>14546.0858357746</v>
      </c>
      <c r="I8">
        <v>5543.7915677948004</v>
      </c>
      <c r="J8">
        <v>12683.699999999901</v>
      </c>
      <c r="L8">
        <v>32.833163571010203</v>
      </c>
      <c r="M8" s="1">
        <v>1.21444827015584E-7</v>
      </c>
      <c r="N8">
        <v>-10757.5037728973</v>
      </c>
      <c r="O8">
        <v>439090.49431806902</v>
      </c>
      <c r="Q8">
        <v>1926.1962271026</v>
      </c>
      <c r="S8">
        <v>-9002.2942679798198</v>
      </c>
      <c r="T8">
        <v>439087.39586121897</v>
      </c>
      <c r="Z8">
        <v>-131203.183663181</v>
      </c>
      <c r="AB8" s="1">
        <v>1.66687933423487E-7</v>
      </c>
      <c r="AC8">
        <v>32.833163571010203</v>
      </c>
      <c r="AD8">
        <v>0</v>
      </c>
      <c r="AE8">
        <v>0</v>
      </c>
      <c r="AH8">
        <v>33022.9399616761</v>
      </c>
      <c r="AI8">
        <v>37815.3764554999</v>
      </c>
      <c r="AJ8">
        <v>0.3</v>
      </c>
      <c r="AK8" s="1">
        <v>5.5562644474495798E-9</v>
      </c>
      <c r="AL8">
        <v>439087.39586121897</v>
      </c>
      <c r="AN8" s="1">
        <v>1.2144482701558399E-11</v>
      </c>
      <c r="AP8">
        <v>42025.234229650203</v>
      </c>
      <c r="AQ8">
        <v>570290.57952439995</v>
      </c>
      <c r="AR8">
        <v>1</v>
      </c>
      <c r="AS8" s="1">
        <v>1.08030874758571E-8</v>
      </c>
      <c r="AT8" s="1">
        <v>3.2874116614042701E-6</v>
      </c>
      <c r="AU8">
        <v>880730.22752504505</v>
      </c>
      <c r="AV8">
        <v>2217726.3345055301</v>
      </c>
      <c r="AW8" s="1">
        <v>1.3149646645616999E-8</v>
      </c>
      <c r="AX8" s="1">
        <v>2.7007718689642802E-6</v>
      </c>
      <c r="AZ8">
        <v>880731.91449230397</v>
      </c>
      <c r="BA8">
        <v>3.0984596226844201</v>
      </c>
      <c r="BC8">
        <v>2217727.7081921101</v>
      </c>
      <c r="BD8">
        <v>1</v>
      </c>
    </row>
    <row r="9" spans="1:56" x14ac:dyDescent="0.25">
      <c r="A9" t="s">
        <v>47</v>
      </c>
      <c r="B9" t="s">
        <v>140</v>
      </c>
      <c r="C9" t="s">
        <v>45</v>
      </c>
      <c r="D9">
        <v>4</v>
      </c>
      <c r="E9">
        <v>835253.80191126897</v>
      </c>
      <c r="F9">
        <v>0</v>
      </c>
      <c r="G9">
        <v>12531.5987531802</v>
      </c>
      <c r="I9">
        <v>1781.4438883021301</v>
      </c>
      <c r="J9">
        <v>12683.699999999901</v>
      </c>
      <c r="L9">
        <v>7.5914297593348596</v>
      </c>
      <c r="M9" s="1">
        <v>6.0290225278208794E-8</v>
      </c>
      <c r="N9">
        <v>-11992.1621994004</v>
      </c>
      <c r="O9">
        <v>563233.63721966895</v>
      </c>
      <c r="Q9">
        <v>691.53780059952703</v>
      </c>
      <c r="S9">
        <v>-10750.154864878001</v>
      </c>
      <c r="T9">
        <v>563230.65878548997</v>
      </c>
      <c r="Z9">
        <v>-272020.16463396198</v>
      </c>
      <c r="AB9" s="1">
        <v>5.1849525239601899E-8</v>
      </c>
      <c r="AC9">
        <v>7.5914297593348596</v>
      </c>
      <c r="AD9">
        <v>0</v>
      </c>
      <c r="AE9">
        <v>0</v>
      </c>
      <c r="AH9">
        <v>38511.133830549603</v>
      </c>
      <c r="AI9">
        <v>50051.0742703</v>
      </c>
      <c r="AJ9">
        <v>0.08</v>
      </c>
      <c r="AK9" s="1">
        <v>1.72831750798673E-9</v>
      </c>
      <c r="AL9">
        <v>563230.65878548997</v>
      </c>
      <c r="AN9" s="1">
        <v>6.0290225278208801E-12</v>
      </c>
      <c r="AP9">
        <v>49261.288695426098</v>
      </c>
      <c r="AQ9">
        <v>835250.82341945195</v>
      </c>
      <c r="AR9">
        <v>1</v>
      </c>
      <c r="AS9" s="1">
        <v>1.23455920416469E-8</v>
      </c>
      <c r="AT9" s="1">
        <v>3.11856991425994E-6</v>
      </c>
      <c r="AU9">
        <v>1818901.0039657301</v>
      </c>
      <c r="AV9">
        <v>1159533.0623170401</v>
      </c>
      <c r="AW9" s="1">
        <v>1.2474279657039699E-8</v>
      </c>
      <c r="AX9" s="1">
        <v>3.0863980104117499E-6</v>
      </c>
      <c r="AZ9">
        <v>1818922.44758661</v>
      </c>
      <c r="BA9">
        <v>2.9784856107635198</v>
      </c>
      <c r="BC9">
        <v>1159563.16317692</v>
      </c>
      <c r="BD9">
        <v>1</v>
      </c>
    </row>
    <row r="10" spans="1:56" x14ac:dyDescent="0.25">
      <c r="M10" s="1"/>
      <c r="Y10" s="1"/>
      <c r="AA10" s="1"/>
      <c r="AB10" s="1"/>
      <c r="AF10" s="1"/>
      <c r="AK10" s="1"/>
      <c r="AM10" s="1"/>
      <c r="AN10" s="1"/>
    </row>
    <row r="11" spans="1:56" x14ac:dyDescent="0.25">
      <c r="M11" s="1"/>
      <c r="Y11" s="1"/>
      <c r="AA11" s="1"/>
      <c r="AB11" s="1"/>
      <c r="AF11" s="1"/>
      <c r="AK11" s="1"/>
      <c r="AM11" s="1"/>
      <c r="AN11" s="1"/>
    </row>
    <row r="12" spans="1:56" x14ac:dyDescent="0.25">
      <c r="M12" s="1"/>
      <c r="AB12" s="1"/>
      <c r="AK12" s="1"/>
      <c r="AN12" s="1"/>
      <c r="AS12" s="1"/>
      <c r="AT12" s="1"/>
      <c r="AW12" s="1"/>
      <c r="AX12" s="1"/>
    </row>
    <row r="13" spans="1:56" x14ac:dyDescent="0.25">
      <c r="M13" s="1"/>
      <c r="AB13" s="1"/>
      <c r="AK13" s="1"/>
      <c r="AN13" s="1"/>
      <c r="AS13" s="1"/>
      <c r="AT13" s="1"/>
      <c r="AW13" s="1"/>
      <c r="AX13" s="1"/>
    </row>
    <row r="14" spans="1:56" x14ac:dyDescent="0.25">
      <c r="M14" s="1"/>
      <c r="AB14" s="1"/>
      <c r="AK14" s="1"/>
      <c r="AN14" s="1"/>
      <c r="AS14" s="1"/>
      <c r="AT14" s="1"/>
      <c r="AW14" s="1"/>
      <c r="AX14" s="1"/>
    </row>
    <row r="15" spans="1:56" x14ac:dyDescent="0.25">
      <c r="M15" s="1"/>
      <c r="AB15" s="1"/>
      <c r="AK15" s="1"/>
      <c r="AN15" s="1"/>
      <c r="AS15" s="1"/>
      <c r="AT15" s="1"/>
      <c r="AW15" s="1"/>
      <c r="AX15" s="1"/>
    </row>
    <row r="16" spans="1:56" x14ac:dyDescent="0.25">
      <c r="AB16" s="1"/>
      <c r="AK16" s="1"/>
      <c r="AS16" s="1"/>
      <c r="AW16" s="1"/>
      <c r="AY16" s="1"/>
      <c r="BB16" s="1"/>
    </row>
    <row r="17" spans="11:54" x14ac:dyDescent="0.25">
      <c r="K17" s="1"/>
      <c r="M17" s="1"/>
      <c r="AB17" s="1"/>
      <c r="AK17" s="1"/>
      <c r="AN17" s="1"/>
      <c r="AS17" s="1"/>
      <c r="AT17" s="1"/>
      <c r="AW17" s="1"/>
      <c r="AX17" s="1"/>
      <c r="AY17" s="1"/>
      <c r="BB17" s="1"/>
    </row>
    <row r="18" spans="11:54" x14ac:dyDescent="0.25">
      <c r="K18" s="1"/>
      <c r="M18" s="1"/>
      <c r="AB18" s="1"/>
      <c r="AK18" s="1"/>
      <c r="AN18" s="1"/>
      <c r="AS18" s="1"/>
      <c r="AT18" s="1"/>
      <c r="AW18" s="1"/>
      <c r="AX18" s="1"/>
      <c r="AY18" s="1"/>
      <c r="BB18" s="1"/>
    </row>
    <row r="19" spans="11:54" x14ac:dyDescent="0.25">
      <c r="AB19" s="1"/>
      <c r="AK19" s="1"/>
      <c r="AT19" s="1"/>
      <c r="AW19" s="1"/>
    </row>
    <row r="20" spans="11:54" x14ac:dyDescent="0.25">
      <c r="M20" s="1"/>
      <c r="Z20" s="1"/>
      <c r="AI20" s="1"/>
      <c r="AL20" s="1"/>
    </row>
    <row r="21" spans="11:54" x14ac:dyDescent="0.25">
      <c r="W21" s="1"/>
      <c r="Y21" s="1"/>
      <c r="Z21" s="1"/>
      <c r="AI21" s="1"/>
    </row>
    <row r="22" spans="11:54" x14ac:dyDescent="0.25">
      <c r="Z22" s="1"/>
      <c r="AI22" s="1"/>
    </row>
    <row r="23" spans="11:54" x14ac:dyDescent="0.25">
      <c r="K23" s="1"/>
      <c r="M23" s="1"/>
      <c r="R23" s="1"/>
      <c r="U23" s="1"/>
      <c r="W23" s="1"/>
      <c r="Y23" s="1"/>
      <c r="Z23" s="1"/>
      <c r="AD23" s="1"/>
      <c r="AI23" s="1"/>
      <c r="AK23" s="1"/>
      <c r="AL23" s="1"/>
    </row>
    <row r="24" spans="11:54" x14ac:dyDescent="0.25">
      <c r="M24" s="1"/>
      <c r="AL24" s="1"/>
    </row>
    <row r="25" spans="11:54" x14ac:dyDescent="0.25">
      <c r="K25" s="1"/>
      <c r="M25" s="1"/>
      <c r="R25" s="1"/>
      <c r="U25" s="1"/>
      <c r="W25" s="1"/>
      <c r="Y25" s="1"/>
      <c r="Z25" s="1"/>
      <c r="AD25" s="1"/>
      <c r="AI25" s="1"/>
      <c r="AK25" s="1"/>
      <c r="AL25" s="1"/>
    </row>
    <row r="26" spans="11:54" x14ac:dyDescent="0.25">
      <c r="M26" s="1"/>
      <c r="Z26" s="1"/>
      <c r="AI26" s="1"/>
      <c r="AL26" s="1"/>
    </row>
    <row r="27" spans="11:54" x14ac:dyDescent="0.25">
      <c r="W27" s="1"/>
      <c r="Y27" s="1"/>
    </row>
    <row r="28" spans="11:54" x14ac:dyDescent="0.25">
      <c r="Z28" s="1"/>
      <c r="AI28" s="1"/>
    </row>
    <row r="29" spans="11:54" x14ac:dyDescent="0.25">
      <c r="K29" s="1"/>
      <c r="M29" s="1"/>
      <c r="R29" s="1"/>
      <c r="U29" s="1"/>
      <c r="W29" s="1"/>
      <c r="Y29" s="1"/>
      <c r="Z29" s="1"/>
      <c r="AD29" s="1"/>
      <c r="AI29" s="1"/>
      <c r="AK29" s="1"/>
      <c r="AL29" s="1"/>
    </row>
    <row r="30" spans="11:54" x14ac:dyDescent="0.25">
      <c r="M30" s="1"/>
      <c r="AL30" s="1"/>
    </row>
    <row r="31" spans="11:54" x14ac:dyDescent="0.25">
      <c r="K31" s="1"/>
      <c r="M31" s="1"/>
      <c r="R31" s="1"/>
      <c r="U31" s="1"/>
      <c r="W31" s="1"/>
      <c r="Y31" s="1"/>
      <c r="Z31" s="1"/>
      <c r="AD31" s="1"/>
      <c r="AI31" s="1"/>
      <c r="AK31" s="1"/>
      <c r="AL31" s="1"/>
    </row>
    <row r="32" spans="11:54" x14ac:dyDescent="0.25">
      <c r="M32" s="1"/>
      <c r="Z32" s="1"/>
      <c r="AI32" s="1"/>
      <c r="AL32" s="1"/>
    </row>
    <row r="33" spans="11:38" x14ac:dyDescent="0.25">
      <c r="W33" s="1"/>
      <c r="Y33" s="1"/>
    </row>
    <row r="34" spans="11:38" x14ac:dyDescent="0.25">
      <c r="Z34" s="1"/>
      <c r="AI34" s="1"/>
    </row>
    <row r="35" spans="11:38" x14ac:dyDescent="0.25">
      <c r="K35" s="1"/>
      <c r="M35" s="1"/>
      <c r="W35" s="1"/>
      <c r="Y35" s="1"/>
      <c r="Z35" s="1"/>
      <c r="AD35" s="1"/>
      <c r="AI35" s="1"/>
      <c r="AK35" s="1"/>
      <c r="AL35" s="1"/>
    </row>
    <row r="36" spans="11:38" x14ac:dyDescent="0.25">
      <c r="M36" s="1"/>
      <c r="Z36" s="1"/>
      <c r="AI36" s="1"/>
      <c r="AL36" s="1"/>
    </row>
    <row r="37" spans="11:38" x14ac:dyDescent="0.25">
      <c r="K37" s="1"/>
      <c r="M37" s="1"/>
      <c r="W37" s="1"/>
      <c r="Y37" s="1"/>
      <c r="Z37" s="1"/>
      <c r="AD37" s="1"/>
      <c r="AI37" s="1"/>
      <c r="AK37" s="1"/>
      <c r="AL37" s="1"/>
    </row>
    <row r="38" spans="11:38" x14ac:dyDescent="0.25">
      <c r="M38" s="1"/>
      <c r="Z38" s="1"/>
      <c r="AI38" s="1"/>
      <c r="AL38" s="1"/>
    </row>
    <row r="39" spans="11:38" x14ac:dyDescent="0.25">
      <c r="W39" s="1"/>
      <c r="Y39" s="1"/>
      <c r="Z39" s="1"/>
      <c r="AI39" s="1"/>
    </row>
    <row r="40" spans="11:38" x14ac:dyDescent="0.25">
      <c r="Z40" s="1"/>
      <c r="AI40" s="1"/>
    </row>
    <row r="41" spans="11:38" x14ac:dyDescent="0.25">
      <c r="K41" s="1"/>
      <c r="M41" s="1"/>
      <c r="R41" s="1"/>
      <c r="U41" s="1"/>
      <c r="W41" s="1"/>
      <c r="Y41" s="1"/>
      <c r="Z41" s="1"/>
      <c r="AD41" s="1"/>
      <c r="AI41" s="1"/>
      <c r="AK41" s="1"/>
      <c r="AL41" s="1"/>
    </row>
    <row r="42" spans="11:38" x14ac:dyDescent="0.25">
      <c r="M42" s="1"/>
      <c r="AL42" s="1"/>
    </row>
    <row r="43" spans="11:38" x14ac:dyDescent="0.25">
      <c r="K43" s="1"/>
      <c r="M43" s="1"/>
      <c r="R43" s="1"/>
      <c r="W43" s="1"/>
      <c r="Y43" s="1"/>
      <c r="Z43" s="1"/>
      <c r="AD43" s="1"/>
      <c r="AI43" s="1"/>
      <c r="AK43" s="1"/>
      <c r="AL43" s="1"/>
    </row>
    <row r="44" spans="11:38" x14ac:dyDescent="0.25">
      <c r="K44" s="1"/>
      <c r="M44" s="1"/>
      <c r="R44" s="1"/>
      <c r="Z44" s="1"/>
      <c r="AI44" s="1"/>
      <c r="AL44" s="1"/>
    </row>
    <row r="45" spans="11:38" x14ac:dyDescent="0.25">
      <c r="K45" s="1"/>
      <c r="M45" s="1"/>
      <c r="R45" s="1"/>
      <c r="U45" s="1"/>
      <c r="W45" s="1"/>
      <c r="Y45" s="1"/>
      <c r="Z45" s="1"/>
      <c r="AD45" s="1"/>
      <c r="AI45" s="1"/>
      <c r="AK45" s="1"/>
      <c r="AL45" s="1"/>
    </row>
    <row r="46" spans="11:38" x14ac:dyDescent="0.25">
      <c r="M46" s="1"/>
      <c r="Z46" s="1"/>
      <c r="AI46" s="1"/>
      <c r="AL46" s="1"/>
    </row>
    <row r="47" spans="11:38" x14ac:dyDescent="0.25">
      <c r="K47" s="1"/>
      <c r="M47" s="1"/>
      <c r="R47" s="1"/>
      <c r="U47" s="1"/>
      <c r="W47" s="1"/>
      <c r="Y47" s="1"/>
      <c r="Z47" s="1"/>
      <c r="AD47" s="1"/>
      <c r="AI47" s="1"/>
      <c r="AK47" s="1"/>
      <c r="AL47" s="1"/>
    </row>
    <row r="48" spans="11:38" x14ac:dyDescent="0.25">
      <c r="M48" s="1"/>
      <c r="Z48" s="1"/>
      <c r="AI48" s="1"/>
      <c r="AL48" s="1"/>
    </row>
    <row r="49" spans="11:55" x14ac:dyDescent="0.25">
      <c r="K49" s="1"/>
      <c r="M49" s="1"/>
      <c r="Z49" s="1"/>
      <c r="AI49" s="1"/>
      <c r="AL49" s="1"/>
      <c r="AT49" s="1"/>
      <c r="AU49" s="1"/>
      <c r="AX49" s="1"/>
      <c r="AY49" s="1"/>
      <c r="BB49" s="1"/>
      <c r="BC49" s="1"/>
    </row>
    <row r="50" spans="11:55" x14ac:dyDescent="0.25">
      <c r="K50" s="1"/>
      <c r="M50" s="1"/>
      <c r="Z50" s="1"/>
      <c r="AI50" s="1"/>
      <c r="AL50" s="1"/>
      <c r="AT50" s="1"/>
      <c r="AU50" s="1"/>
      <c r="AX50" s="1"/>
      <c r="AY50" s="1"/>
      <c r="BB50" s="1"/>
      <c r="BC50" s="1"/>
    </row>
    <row r="51" spans="11:55" x14ac:dyDescent="0.25">
      <c r="Z51" s="1"/>
      <c r="AI51" s="1"/>
      <c r="AY51" s="1"/>
      <c r="BB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Sheet1</vt:lpstr>
      <vt:lpstr>Sheet1 (2)</vt:lpstr>
      <vt:lpstr>Sheet2</vt:lpstr>
      <vt:lpstr>Sheet3</vt:lpstr>
      <vt:lpstr>gcd_KPI_adequacy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Gallegos Garay, Pablo I</cp:lastModifiedBy>
  <dcterms:created xsi:type="dcterms:W3CDTF">2025-06-03T15:31:48Z</dcterms:created>
  <dcterms:modified xsi:type="dcterms:W3CDTF">2025-07-04T15:44:08Z</dcterms:modified>
</cp:coreProperties>
</file>