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allego_ic_ac_uk/Documents/PhD/Repositories/energy_reserve/notebooks/"/>
    </mc:Choice>
  </mc:AlternateContent>
  <xr:revisionPtr revIDLastSave="888" documentId="13_ncr:1_{0235EAAF-377E-4371-B7F0-984081092FBF}" xr6:coauthVersionLast="47" xr6:coauthVersionMax="47" xr10:uidLastSave="{8E06D6AF-757F-4316-BA9B-6141734BE31B}"/>
  <bookViews>
    <workbookView xWindow="-120" yWindow="-120" windowWidth="29040" windowHeight="15720" activeTab="5" xr2:uid="{51937929-CFD7-4574-9ABB-BDA0EB522EB8}"/>
  </bookViews>
  <sheets>
    <sheet name="Summary" sheetId="8" r:id="rId1"/>
    <sheet name="LGEN" sheetId="7" r:id="rId2"/>
    <sheet name="EENS" sheetId="5" r:id="rId3"/>
    <sheet name="EOPEX" sheetId="3" r:id="rId4"/>
    <sheet name="EOPEX2" sheetId="11" r:id="rId5"/>
    <sheet name="supply demand" sheetId="10" r:id="rId6"/>
    <sheet name="gcd_KPI_adequacy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0" l="1"/>
  <c r="S47" i="3" l="1"/>
  <c r="S46" i="3"/>
  <c r="S45" i="3"/>
  <c r="S44" i="3"/>
  <c r="S43" i="3"/>
  <c r="S40" i="3"/>
  <c r="S39" i="3"/>
  <c r="S38" i="3"/>
  <c r="S42" i="3"/>
  <c r="S41" i="3"/>
  <c r="M18" i="10"/>
  <c r="U31" i="3"/>
  <c r="U30" i="3"/>
  <c r="U29" i="3"/>
  <c r="U28" i="3"/>
  <c r="U27" i="3"/>
  <c r="U26" i="3"/>
  <c r="U32" i="3"/>
  <c r="U25" i="3"/>
  <c r="U24" i="3"/>
  <c r="U23" i="3"/>
  <c r="U22" i="3"/>
  <c r="T28" i="3"/>
  <c r="T30" i="3"/>
  <c r="T23" i="3"/>
  <c r="T26" i="3"/>
  <c r="T29" i="3"/>
  <c r="T31" i="3"/>
  <c r="T25" i="3"/>
  <c r="T27" i="3"/>
  <c r="T32" i="3"/>
  <c r="T24" i="3"/>
  <c r="T22" i="3"/>
  <c r="S22" i="3"/>
  <c r="S37" i="3"/>
  <c r="S23" i="3"/>
  <c r="S24" i="3"/>
  <c r="S25" i="3"/>
  <c r="S26" i="3"/>
  <c r="S27" i="3"/>
  <c r="S28" i="3"/>
  <c r="S29" i="3"/>
  <c r="S30" i="3"/>
  <c r="S31" i="3"/>
  <c r="S32" i="3"/>
  <c r="M25" i="3" l="1"/>
  <c r="H7" i="11"/>
  <c r="G7" i="11"/>
  <c r="G12" i="11"/>
  <c r="G37" i="11"/>
  <c r="G17" i="11"/>
  <c r="G22" i="11"/>
  <c r="G27" i="11"/>
  <c r="G32" i="11"/>
  <c r="G42" i="11"/>
  <c r="G47" i="11"/>
  <c r="G52" i="11"/>
  <c r="H47" i="11"/>
  <c r="H37" i="11"/>
  <c r="H12" i="11"/>
  <c r="H57" i="11"/>
  <c r="H52" i="11"/>
  <c r="H17" i="11"/>
  <c r="H22" i="11"/>
  <c r="H27" i="11"/>
  <c r="H32" i="11"/>
  <c r="H42" i="11"/>
  <c r="G57" i="11"/>
  <c r="N17" i="10"/>
  <c r="N18" i="10"/>
  <c r="N19" i="10"/>
  <c r="N16" i="10"/>
  <c r="M19" i="10"/>
  <c r="M17" i="10"/>
  <c r="O18" i="10"/>
  <c r="L52" i="10"/>
  <c r="D52" i="10"/>
  <c r="K52" i="10"/>
  <c r="C52" i="10"/>
  <c r="F52" i="10"/>
  <c r="J52" i="10"/>
  <c r="I52" i="10"/>
  <c r="G52" i="10"/>
  <c r="E52" i="10"/>
  <c r="H52" i="10"/>
  <c r="B52" i="10"/>
  <c r="B51" i="10"/>
  <c r="K51" i="10"/>
  <c r="C51" i="10"/>
  <c r="J51" i="10"/>
  <c r="I51" i="10"/>
  <c r="H51" i="10"/>
  <c r="D51" i="10"/>
  <c r="G51" i="10"/>
  <c r="F51" i="10"/>
  <c r="E51" i="10"/>
  <c r="L51" i="10"/>
  <c r="H40" i="8"/>
  <c r="H48" i="8"/>
  <c r="M24" i="8"/>
  <c r="K33" i="8"/>
  <c r="L34" i="8"/>
  <c r="K32" i="8"/>
  <c r="K26" i="8"/>
  <c r="K24" i="8"/>
  <c r="L26" i="8"/>
  <c r="L33" i="8"/>
  <c r="M34" i="8"/>
  <c r="N30" i="8"/>
  <c r="H41" i="8"/>
  <c r="H49" i="8"/>
  <c r="M26" i="8"/>
  <c r="N28" i="8"/>
  <c r="N33" i="8"/>
  <c r="L28" i="8"/>
  <c r="L25" i="8"/>
  <c r="L30" i="8"/>
  <c r="H45" i="8"/>
  <c r="N25" i="8"/>
  <c r="H42" i="8"/>
  <c r="H50" i="8"/>
  <c r="N31" i="8"/>
  <c r="M25" i="8"/>
  <c r="L27" i="8"/>
  <c r="N27" i="8"/>
  <c r="M33" i="8"/>
  <c r="K28" i="8"/>
  <c r="K31" i="8"/>
  <c r="L29" i="8"/>
  <c r="H43" i="8"/>
  <c r="N34" i="8"/>
  <c r="M28" i="8"/>
  <c r="K25" i="8"/>
  <c r="M29" i="8"/>
  <c r="K30" i="8"/>
  <c r="K27" i="8"/>
  <c r="M31" i="8"/>
  <c r="L32" i="8"/>
  <c r="M32" i="8"/>
  <c r="K34" i="8"/>
  <c r="K29" i="8"/>
  <c r="H44" i="8"/>
  <c r="H46" i="8"/>
  <c r="M27" i="8"/>
  <c r="N26" i="8"/>
  <c r="L24" i="8"/>
  <c r="L31" i="8"/>
  <c r="M30" i="8"/>
  <c r="N32" i="8"/>
  <c r="H47" i="8"/>
  <c r="N29" i="8"/>
  <c r="N24" i="8"/>
  <c r="I27" i="8"/>
  <c r="D30" i="8"/>
  <c r="E24" i="8"/>
  <c r="G43" i="8"/>
  <c r="E30" i="8"/>
  <c r="F50" i="8"/>
  <c r="E31" i="8"/>
  <c r="I31" i="8"/>
  <c r="J29" i="8"/>
  <c r="F30" i="8"/>
  <c r="J24" i="8"/>
  <c r="G45" i="8"/>
  <c r="E42" i="8"/>
  <c r="C26" i="8"/>
  <c r="G49" i="8"/>
  <c r="G47" i="8"/>
  <c r="C27" i="8"/>
  <c r="I28" i="8"/>
  <c r="AA17" i="3"/>
  <c r="I29" i="8"/>
  <c r="I32" i="8"/>
  <c r="G32" i="8"/>
  <c r="C42" i="8"/>
  <c r="J30" i="8"/>
  <c r="E41" i="8"/>
  <c r="D31" i="8"/>
  <c r="I25" i="8"/>
  <c r="E48" i="8"/>
  <c r="I24" i="8"/>
  <c r="G34" i="8"/>
  <c r="C46" i="8"/>
  <c r="G28" i="8"/>
  <c r="E47" i="8"/>
  <c r="C29" i="8"/>
  <c r="E50" i="8"/>
  <c r="H24" i="8"/>
  <c r="F41" i="8"/>
  <c r="G33" i="8"/>
  <c r="AA14" i="3"/>
  <c r="C31" i="8"/>
  <c r="AA9" i="3"/>
  <c r="E28" i="8"/>
  <c r="D44" i="8"/>
  <c r="C34" i="8"/>
  <c r="D43" i="8"/>
  <c r="E27" i="8"/>
  <c r="H26" i="8"/>
  <c r="G41" i="8"/>
  <c r="D48" i="8"/>
  <c r="C50" i="8"/>
  <c r="H28" i="8"/>
  <c r="F29" i="8"/>
  <c r="D45" i="8"/>
  <c r="F40" i="8"/>
  <c r="H30" i="8"/>
  <c r="G24" i="8"/>
  <c r="G40" i="8"/>
  <c r="F43" i="8"/>
  <c r="F34" i="8"/>
  <c r="J28" i="8"/>
  <c r="J33" i="8"/>
  <c r="AA13" i="3"/>
  <c r="H33" i="8"/>
  <c r="C44" i="8"/>
  <c r="I33" i="8"/>
  <c r="C41" i="8"/>
  <c r="J27" i="8"/>
  <c r="F33" i="8"/>
  <c r="F49" i="8"/>
  <c r="D40" i="8"/>
  <c r="F45" i="8"/>
  <c r="E46" i="8"/>
  <c r="G31" i="8"/>
  <c r="C45" i="8"/>
  <c r="E34" i="8"/>
  <c r="AA15" i="3"/>
  <c r="F48" i="8"/>
  <c r="F27" i="8"/>
  <c r="F42" i="8"/>
  <c r="E40" i="8"/>
  <c r="D33" i="8"/>
  <c r="AA10" i="3"/>
  <c r="D25" i="8"/>
  <c r="E49" i="8"/>
  <c r="H34" i="8"/>
  <c r="E43" i="8"/>
  <c r="E33" i="8"/>
  <c r="G26" i="8"/>
  <c r="D49" i="8"/>
  <c r="F47" i="8"/>
  <c r="D47" i="8"/>
  <c r="D46" i="8"/>
  <c r="C43" i="8"/>
  <c r="G29" i="8"/>
  <c r="D32" i="8"/>
  <c r="F44" i="8"/>
  <c r="C47" i="8"/>
  <c r="J26" i="8"/>
  <c r="E32" i="8"/>
  <c r="G30" i="8"/>
  <c r="AA16" i="3"/>
  <c r="C30" i="8"/>
  <c r="G44" i="8"/>
  <c r="D28" i="8"/>
  <c r="C33" i="8"/>
  <c r="D26" i="8"/>
  <c r="C24" i="8"/>
  <c r="D41" i="8"/>
  <c r="G48" i="8"/>
  <c r="C49" i="8"/>
  <c r="C48" i="8"/>
  <c r="J34" i="8"/>
  <c r="H29" i="8"/>
  <c r="D50" i="8"/>
  <c r="F28" i="8"/>
  <c r="H32" i="8"/>
  <c r="AA8" i="3"/>
  <c r="C25" i="8"/>
  <c r="E45" i="8"/>
  <c r="H31" i="8"/>
  <c r="J31" i="8"/>
  <c r="D42" i="8"/>
  <c r="G27" i="8"/>
  <c r="D24" i="8"/>
  <c r="F46" i="8"/>
  <c r="D27" i="8"/>
  <c r="G46" i="8"/>
  <c r="I30" i="8"/>
  <c r="F25" i="8"/>
  <c r="I26" i="8"/>
  <c r="C28" i="8"/>
  <c r="J25" i="8"/>
  <c r="C40" i="8"/>
  <c r="C32" i="8"/>
  <c r="F32" i="8"/>
  <c r="F24" i="8"/>
  <c r="J32" i="8"/>
  <c r="E44" i="8"/>
  <c r="AA12" i="3"/>
  <c r="G25" i="8"/>
  <c r="AA11" i="3"/>
  <c r="E25" i="8"/>
  <c r="E26" i="8"/>
  <c r="F31" i="8"/>
  <c r="F26" i="8"/>
  <c r="H27" i="8"/>
  <c r="G50" i="8"/>
  <c r="E29" i="8"/>
  <c r="D34" i="8"/>
  <c r="I34" i="8"/>
  <c r="D29" i="8"/>
  <c r="G42" i="8"/>
  <c r="AA7" i="3"/>
  <c r="H25" i="8"/>
</calcChain>
</file>

<file path=xl/sharedStrings.xml><?xml version="1.0" encoding="utf-8"?>
<sst xmlns="http://schemas.openxmlformats.org/spreadsheetml/2006/main" count="483" uniqueCount="118">
  <si>
    <t>model_type</t>
  </si>
  <si>
    <t>VLGEN</t>
  </si>
  <si>
    <t>solution_id</t>
  </si>
  <si>
    <t>configuration</t>
  </si>
  <si>
    <t>day</t>
  </si>
  <si>
    <t>OV_uc</t>
  </si>
  <si>
    <t>reserve_cost_uc</t>
  </si>
  <si>
    <t>E_avg_marginal_energy_price_MU_MWh</t>
  </si>
  <si>
    <t>input_RES_production_MWh</t>
  </si>
  <si>
    <t>EENS_cost</t>
  </si>
  <si>
    <t>EOV</t>
  </si>
  <si>
    <t>avg_marginal_reserve_up_price_uc_MU_MWh</t>
  </si>
  <si>
    <t>avg_marginal_energy_price_uc_MU_MWh</t>
  </si>
  <si>
    <t>avg_marginal_reserve_down_price_uc_MU_MWh</t>
  </si>
  <si>
    <t>ECUR</t>
  </si>
  <si>
    <t>E_redispatch_cost</t>
  </si>
  <si>
    <t>LOLE</t>
  </si>
  <si>
    <t>ELGEN_cost</t>
  </si>
  <si>
    <t>CURE</t>
  </si>
  <si>
    <t>ELGEN</t>
  </si>
  <si>
    <t>EENS</t>
  </si>
  <si>
    <t>EOPEX</t>
  </si>
  <si>
    <t>input_load_MWh</t>
  </si>
  <si>
    <t>OPEX_uc</t>
  </si>
  <si>
    <t>avg_marginal_energy_reserve_down_price_uc_MU_MWh</t>
  </si>
  <si>
    <t>avg_marginal_energy_reserve_up_price_uc_MU_MWh</t>
  </si>
  <si>
    <t>envelope</t>
  </si>
  <si>
    <t>solutions_v57.0.0.4s</t>
  </si>
  <si>
    <t>base_ramp_storage_envelopes_up_0_3_dn_0_3</t>
  </si>
  <si>
    <t>base_ramp_storage_envelopes_up_1_dn_1</t>
  </si>
  <si>
    <t>solutions_v57.0.1.4s</t>
  </si>
  <si>
    <t>solutions_v57.0.2.4s</t>
  </si>
  <si>
    <t>base_ramp_storage_envelopes_up_0_32_dn_0_32</t>
  </si>
  <si>
    <t>solutions_v57.0.3.4s</t>
  </si>
  <si>
    <t>solutions_v57.0.4.4s</t>
  </si>
  <si>
    <t>base_ramp_storage_envelopes_up_0_37_dn_0_37</t>
  </si>
  <si>
    <t>solutions_v57.0.5.4s</t>
  </si>
  <si>
    <t>base_ramp_storage_envelopes_up_0_38_dn_0_38</t>
  </si>
  <si>
    <t>solutions_v57.0.6.4s</t>
  </si>
  <si>
    <t>solutions_v57.0.7.4s</t>
  </si>
  <si>
    <t>base_ramp_storage_envelopes_up_0_49_dn_0_49</t>
  </si>
  <si>
    <t>solutions_v57.0.8.4s</t>
  </si>
  <si>
    <t>base_ramp_storage_envelopes_up_0_55_dn_0_55</t>
  </si>
  <si>
    <t>solutions_v57.0.9.4s</t>
  </si>
  <si>
    <t>base_ramp_storage_envelopes_up_0_65_dn_0_65</t>
  </si>
  <si>
    <t>solutions_v57.0.99.4s</t>
  </si>
  <si>
    <t>base_ramp_storage_envelopes_up_0_97_dn_0_97</t>
  </si>
  <si>
    <t>e-reserve</t>
  </si>
  <si>
    <t>solutions_v58.0.0.4s</t>
  </si>
  <si>
    <t>solutions_v58.0.1.4s</t>
  </si>
  <si>
    <t>solutions_v58.0.2.4s</t>
  </si>
  <si>
    <t>solutions_v58.0.3.4s</t>
  </si>
  <si>
    <t>solutions_v58.0.4.4s</t>
  </si>
  <si>
    <t>solutions_v58.0.5.4s</t>
  </si>
  <si>
    <t>solutions_v58.0.6.4s</t>
  </si>
  <si>
    <t>solutions_v58.0.7.4s</t>
  </si>
  <si>
    <t>solutions_v58.0.8.4s</t>
  </si>
  <si>
    <t>solutions_v58.0.9.4s</t>
  </si>
  <si>
    <t>solutions_v58.0.99.4s</t>
  </si>
  <si>
    <t>Row Labels</t>
  </si>
  <si>
    <t>Grand Total</t>
  </si>
  <si>
    <t>(All)</t>
  </si>
  <si>
    <t>Sum of EOPEX</t>
  </si>
  <si>
    <t>stochastic</t>
  </si>
  <si>
    <t>conservative</t>
  </si>
  <si>
    <t>Sum of EOV</t>
  </si>
  <si>
    <t>rho</t>
  </si>
  <si>
    <t>Sum of EENS</t>
  </si>
  <si>
    <t>Column Labels</t>
  </si>
  <si>
    <t>Sum of ELGEN</t>
  </si>
  <si>
    <t>Sum of EENS_cost</t>
  </si>
  <si>
    <t>Sum of ELGEN_cost</t>
  </si>
  <si>
    <t>Sum of reserve_cost_uc</t>
  </si>
  <si>
    <t>Sum of input_RES_production_MWh</t>
  </si>
  <si>
    <t>Sum of ECUR</t>
  </si>
  <si>
    <t>Sum of input_load_MWh</t>
  </si>
  <si>
    <t>E_fixed_cost</t>
  </si>
  <si>
    <t>E_reserve_cost</t>
  </si>
  <si>
    <t>E_production_cost</t>
  </si>
  <si>
    <t>E_start_cost</t>
  </si>
  <si>
    <t>mu</t>
  </si>
  <si>
    <t>Sum of E_fixed_cost</t>
  </si>
  <si>
    <t>Sum of E_production_cost</t>
  </si>
  <si>
    <t>Sum of E_redispatch_cost</t>
  </si>
  <si>
    <t>Sum of E_start_cost</t>
  </si>
  <si>
    <t>E_storage_discharge_MWh</t>
  </si>
  <si>
    <t>E_storage_charge_MWh</t>
  </si>
  <si>
    <t>E_thermal_production_MWh</t>
  </si>
  <si>
    <t>E_nonRES_nonThermal_production_MWh</t>
  </si>
  <si>
    <t>Sum of E_storage_discharge_MWh</t>
  </si>
  <si>
    <t>Sum of E_storage_charge_MWh</t>
  </si>
  <si>
    <t>Sum of E_thermal_production_MWh</t>
  </si>
  <si>
    <t>Sum of E_nonRES_nonThermal_production_MWh</t>
  </si>
  <si>
    <t>Sum of OPEX_uc</t>
  </si>
  <si>
    <t>solutions_v_s57.0.0.7.5s</t>
  </si>
  <si>
    <t>solutions_v_s57.0.1.7.5s</t>
  </si>
  <si>
    <t>solutions_v_s57.0.2.7.5s</t>
  </si>
  <si>
    <t>solutions_v_s57.0.3.7.5s</t>
  </si>
  <si>
    <t>solutions_v_s57.0.4.7.5s</t>
  </si>
  <si>
    <t>solutions_v_s57.0.5.7.5s</t>
  </si>
  <si>
    <t>solutions_v_s57.0.6.7.5s</t>
  </si>
  <si>
    <t>solutions_v_s57.0.7.7.5s</t>
  </si>
  <si>
    <t>solutions_v_s57.0.8.7.5s</t>
  </si>
  <si>
    <t>solutions_v_s57.0.9.7.5s</t>
  </si>
  <si>
    <t>solutions_v_s57.0.99.7.5s</t>
  </si>
  <si>
    <t>Expected energy not server (MWh)</t>
  </si>
  <si>
    <t>Operational cost ($)</t>
  </si>
  <si>
    <t>Expected energy not served cost ($)</t>
  </si>
  <si>
    <t>rho (correlationf actor)</t>
  </si>
  <si>
    <t>Envelope&gt;</t>
  </si>
  <si>
    <t>e-reserve&gt;=envelope?</t>
  </si>
  <si>
    <t>e-reserve&gt;=envelope</t>
  </si>
  <si>
    <t>envelope-stochastic</t>
  </si>
  <si>
    <t>e-reserve-stochastic</t>
  </si>
  <si>
    <t>source</t>
  </si>
  <si>
    <t>"solutions_v_s57.{ρ}.4s",</t>
  </si>
  <si>
    <t>"solutions_v58.{ρ}.4s"</t>
  </si>
  <si>
    <t>"solutions_v_s57.{ρ}.7.5s"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</si>
</sst>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%"/>
    <numFmt numFmtId="166" formatCode="0.000000"/>
    <numFmt numFmtId="167" formatCode="0.000"/>
    <numFmt numFmtId="168" formatCode="0.000E+00"/>
    <numFmt numFmtId="169" formatCode="0.0E+00"/>
    <numFmt numFmtId="170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69" formatCode="0.0E+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0.0E+00"/>
    </dxf>
    <dxf>
      <numFmt numFmtId="167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Summary!$C$23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Summary!$C$24:$C$34</c:f>
              <c:numCache>
                <c:formatCode>0</c:formatCode>
                <c:ptCount val="11"/>
                <c:pt idx="0">
                  <c:v>808058.20521904796</c:v>
                </c:pt>
                <c:pt idx="1">
                  <c:v>807863.58596770396</c:v>
                </c:pt>
                <c:pt idx="2">
                  <c:v>811588.95739103295</c:v>
                </c:pt>
                <c:pt idx="3">
                  <c:v>808877.04392315401</c:v>
                </c:pt>
                <c:pt idx="4">
                  <c:v>807195.25814658101</c:v>
                </c:pt>
                <c:pt idx="5">
                  <c:v>814114.00134716299</c:v>
                </c:pt>
                <c:pt idx="6">
                  <c:v>810987.908623514</c:v>
                </c:pt>
                <c:pt idx="7">
                  <c:v>807595.43576530798</c:v>
                </c:pt>
                <c:pt idx="8">
                  <c:v>807664.97473749495</c:v>
                </c:pt>
                <c:pt idx="9">
                  <c:v>813620.17984197196</c:v>
                </c:pt>
                <c:pt idx="10">
                  <c:v>805431.84467422101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9D1-4925-918F-7A9E936FBA19}"/>
            </c:ext>
          </c:extLst>
        </c:ser>
        <c:ser>
          <c:idx val="1"/>
          <c:order val="1"/>
          <c:tx>
            <c:strRef>
              <c:f>Summary!$D$23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Summary!$B$24:$B$34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Summary!$D$24:$D$34</c:f>
              <c:numCache>
                <c:formatCode>0</c:formatCode>
                <c:ptCount val="11"/>
                <c:pt idx="0">
                  <c:v>800627.12557306699</c:v>
                </c:pt>
                <c:pt idx="1">
                  <c:v>800160.24882748898</c:v>
                </c:pt>
                <c:pt idx="2">
                  <c:v>800452.98394123395</c:v>
                </c:pt>
                <c:pt idx="3">
                  <c:v>800411.43837708596</c:v>
                </c:pt>
                <c:pt idx="4">
                  <c:v>800162.66153856704</c:v>
                </c:pt>
                <c:pt idx="5">
                  <c:v>800062.58746658196</c:v>
                </c:pt>
                <c:pt idx="6">
                  <c:v>800598.88951088605</c:v>
                </c:pt>
                <c:pt idx="7">
                  <c:v>802775.11098748702</c:v>
                </c:pt>
                <c:pt idx="8">
                  <c:v>804182.05087088596</c:v>
                </c:pt>
                <c:pt idx="9">
                  <c:v>805560.34009892598</c:v>
                </c:pt>
                <c:pt idx="10">
                  <c:v>805351.03554833797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9D1-4925-918F-7A9E936FBA19}"/>
            </c:ext>
          </c:extLst>
        </c:ser>
        <c:ser>
          <c:idx val="2"/>
          <c:order val="2"/>
          <c:tx>
            <c:strRef>
              <c:f>Summary!$E$23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Summary!$E$24:$E$34</c:f>
              <c:numCache>
                <c:formatCode>0</c:formatCode>
                <c:ptCount val="11"/>
                <c:pt idx="0">
                  <c:v>800627.08243458695</c:v>
                </c:pt>
                <c:pt idx="1">
                  <c:v>800079.35222445498</c:v>
                </c:pt>
                <c:pt idx="2">
                  <c:v>800452.98394155898</c:v>
                </c:pt>
                <c:pt idx="3">
                  <c:v>800411.43837196904</c:v>
                </c:pt>
                <c:pt idx="4">
                  <c:v>800162.66154064098</c:v>
                </c:pt>
                <c:pt idx="5">
                  <c:v>800062.58745782904</c:v>
                </c:pt>
                <c:pt idx="6">
                  <c:v>802691.45866308804</c:v>
                </c:pt>
                <c:pt idx="7">
                  <c:v>803581.04312351195</c:v>
                </c:pt>
                <c:pt idx="8">
                  <c:v>805872.16387087305</c:v>
                </c:pt>
                <c:pt idx="9">
                  <c:v>805930.40263111203</c:v>
                </c:pt>
                <c:pt idx="10">
                  <c:v>805380.27267785801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D1-4925-918F-7A9E936FBA19}"/>
            </c:ext>
          </c:extLst>
        </c:ser>
        <c:ser>
          <c:idx val="0"/>
          <c:order val="3"/>
          <c:tx>
            <c:strRef>
              <c:f>Summary!$F$23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Summary!$F$24:$F$34</c:f>
              <c:numCache>
                <c:formatCode>0</c:formatCode>
                <c:ptCount val="11"/>
                <c:pt idx="0">
                  <c:v>796469.72021323501</c:v>
                </c:pt>
                <c:pt idx="1">
                  <c:v>795440.87862226204</c:v>
                </c:pt>
                <c:pt idx="2">
                  <c:v>796642.78684675996</c:v>
                </c:pt>
                <c:pt idx="3">
                  <c:v>796530.57316235895</c:v>
                </c:pt>
                <c:pt idx="4">
                  <c:v>795701.56489834096</c:v>
                </c:pt>
                <c:pt idx="5">
                  <c:v>795008.51956981199</c:v>
                </c:pt>
                <c:pt idx="6">
                  <c:v>796231.62824480399</c:v>
                </c:pt>
                <c:pt idx="7">
                  <c:v>795787.74027260696</c:v>
                </c:pt>
                <c:pt idx="8">
                  <c:v>796267.35304154095</c:v>
                </c:pt>
                <c:pt idx="9">
                  <c:v>798514.00492756197</c:v>
                </c:pt>
                <c:pt idx="10">
                  <c:v>800265.81499332399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9D1-4925-918F-7A9E936F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0495"/>
        <c:axId val="153572383"/>
        <c:extLst/>
      </c:barChart>
      <c:catAx>
        <c:axId val="14489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 Condensed" panose="020B0506020104020203" pitchFamily="34" charset="0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53572383"/>
        <c:crosses val="autoZero"/>
        <c:auto val="1"/>
        <c:lblAlgn val="ctr"/>
        <c:lblOffset val="100"/>
        <c:noMultiLvlLbl val="0"/>
      </c:catAx>
      <c:valAx>
        <c:axId val="153572383"/>
        <c:scaling>
          <c:orientation val="minMax"/>
          <c:min val="790000"/>
        </c:scaling>
        <c:delete val="0"/>
        <c:axPos val="l"/>
        <c:title>
          <c:tx>
            <c:strRef>
              <c:f>Summary!$C$22</c:f>
              <c:strCache>
                <c:ptCount val="1"/>
                <c:pt idx="0">
                  <c:v>Operational cost ($)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448904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 Condensed" panose="020B0506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 Condensed" panose="020B0506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Summary!$H$23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Summary!$B$24:$B$34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Summary!$H$24:$H$34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6374.5723839761304</c:v>
                </c:pt>
                <c:pt idx="3">
                  <c:v>20217.440465076899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6240.7091142769405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8-40A1-B444-3B5EA95E7EE4}"/>
            </c:ext>
          </c:extLst>
        </c:ser>
        <c:ser>
          <c:idx val="2"/>
          <c:order val="1"/>
          <c:tx>
            <c:strRef>
              <c:f>Summary!$I$23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Summary!$I$24:$I$34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8-40A1-B444-3B5EA95E7EE4}"/>
            </c:ext>
          </c:extLst>
        </c:ser>
        <c:ser>
          <c:idx val="0"/>
          <c:order val="2"/>
          <c:tx>
            <c:strRef>
              <c:f>Summary!$J$23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Summary!$J$24:$J$34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8-40A1-B444-3B5EA95E7EE4}"/>
            </c:ext>
          </c:extLst>
        </c:ser>
        <c:ser>
          <c:idx val="3"/>
          <c:order val="3"/>
          <c:tx>
            <c:strRef>
              <c:f>Summary!$G$23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Summary!$G$24:$G$34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58-40A1-B444-3B5EA95E7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0495"/>
        <c:axId val="153572383"/>
        <c:extLst/>
      </c:barChart>
      <c:catAx>
        <c:axId val="14489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 Condensed" panose="020B0506020104020203" pitchFamily="34" charset="0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53572383"/>
        <c:crosses val="autoZero"/>
        <c:auto val="1"/>
        <c:lblAlgn val="ctr"/>
        <c:lblOffset val="100"/>
        <c:noMultiLvlLbl val="0"/>
      </c:catAx>
      <c:valAx>
        <c:axId val="153572383"/>
        <c:scaling>
          <c:orientation val="minMax"/>
        </c:scaling>
        <c:delete val="0"/>
        <c:axPos val="l"/>
        <c:title>
          <c:tx>
            <c:strRef>
              <c:f>Summary!$G$22</c:f>
              <c:strCache>
                <c:ptCount val="1"/>
                <c:pt idx="0">
                  <c:v>Expected energy not served cost ($)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448904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 Condensed" panose="020B0506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 Condensed" panose="020B0506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EOPEX!$R$6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EOPEX!$N$7:$N$17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EOPEX!$R$7:$R$17</c:f>
              <c:numCache>
                <c:formatCode>0</c:formatCode>
                <c:ptCount val="11"/>
                <c:pt idx="0">
                  <c:v>808058.20521904796</c:v>
                </c:pt>
                <c:pt idx="1">
                  <c:v>807863.58596770396</c:v>
                </c:pt>
                <c:pt idx="2">
                  <c:v>811588.95739103295</c:v>
                </c:pt>
                <c:pt idx="3">
                  <c:v>808877.04392315401</c:v>
                </c:pt>
                <c:pt idx="4">
                  <c:v>807195.25814658101</c:v>
                </c:pt>
                <c:pt idx="5">
                  <c:v>814114.00134716299</c:v>
                </c:pt>
                <c:pt idx="6">
                  <c:v>810987.908623514</c:v>
                </c:pt>
                <c:pt idx="7">
                  <c:v>807595.43576530798</c:v>
                </c:pt>
                <c:pt idx="8">
                  <c:v>807664.97473749495</c:v>
                </c:pt>
                <c:pt idx="9">
                  <c:v>813620.17984197196</c:v>
                </c:pt>
                <c:pt idx="10">
                  <c:v>805431.84467422101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5-4703-84EB-682C395E9CEA}"/>
            </c:ext>
          </c:extLst>
        </c:ser>
        <c:ser>
          <c:idx val="0"/>
          <c:order val="1"/>
          <c:tx>
            <c:strRef>
              <c:f>EOPEX!$O$6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EOPEX!$N$7:$N$17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EOPEX!$O$7:$O$17</c:f>
              <c:numCache>
                <c:formatCode>0</c:formatCode>
                <c:ptCount val="11"/>
                <c:pt idx="0">
                  <c:v>800627.12557306699</c:v>
                </c:pt>
                <c:pt idx="1">
                  <c:v>800160.24882748898</c:v>
                </c:pt>
                <c:pt idx="2">
                  <c:v>800452.98394123395</c:v>
                </c:pt>
                <c:pt idx="3">
                  <c:v>800411.43837708596</c:v>
                </c:pt>
                <c:pt idx="4">
                  <c:v>800162.66153856704</c:v>
                </c:pt>
                <c:pt idx="5">
                  <c:v>800062.58746658196</c:v>
                </c:pt>
                <c:pt idx="6">
                  <c:v>800598.88951088605</c:v>
                </c:pt>
                <c:pt idx="7">
                  <c:v>802775.11098748702</c:v>
                </c:pt>
                <c:pt idx="8">
                  <c:v>804182.05087088596</c:v>
                </c:pt>
                <c:pt idx="9">
                  <c:v>805560.34009892598</c:v>
                </c:pt>
                <c:pt idx="10">
                  <c:v>805351.03554833797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565-4703-84EB-682C395E9CEA}"/>
            </c:ext>
          </c:extLst>
        </c:ser>
        <c:ser>
          <c:idx val="1"/>
          <c:order val="2"/>
          <c:tx>
            <c:strRef>
              <c:f>EOPEX!$P$6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EOPEX!$N$7:$N$17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EOPEX!$P$7:$P$17</c:f>
              <c:numCache>
                <c:formatCode>0</c:formatCode>
                <c:ptCount val="11"/>
                <c:pt idx="0">
                  <c:v>800627.08243458695</c:v>
                </c:pt>
                <c:pt idx="1">
                  <c:v>800079.35222445498</c:v>
                </c:pt>
                <c:pt idx="2">
                  <c:v>800452.98394155898</c:v>
                </c:pt>
                <c:pt idx="3">
                  <c:v>800411.43837196904</c:v>
                </c:pt>
                <c:pt idx="4">
                  <c:v>800162.66154064098</c:v>
                </c:pt>
                <c:pt idx="5">
                  <c:v>800062.58745782904</c:v>
                </c:pt>
                <c:pt idx="6">
                  <c:v>802691.45866308804</c:v>
                </c:pt>
                <c:pt idx="7">
                  <c:v>803581.04312351195</c:v>
                </c:pt>
                <c:pt idx="8">
                  <c:v>805872.16387087305</c:v>
                </c:pt>
                <c:pt idx="9">
                  <c:v>805930.40263111203</c:v>
                </c:pt>
                <c:pt idx="10">
                  <c:v>805380.27267785801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565-4703-84EB-682C395E9CEA}"/>
            </c:ext>
          </c:extLst>
        </c:ser>
        <c:ser>
          <c:idx val="2"/>
          <c:order val="3"/>
          <c:tx>
            <c:strRef>
              <c:f>EOPEX!$Q$6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EOPEX!$N$7:$N$17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EOPEX!$Q$7:$Q$17</c:f>
              <c:numCache>
                <c:formatCode>0</c:formatCode>
                <c:ptCount val="11"/>
                <c:pt idx="0">
                  <c:v>796469.72021323501</c:v>
                </c:pt>
                <c:pt idx="1">
                  <c:v>795440.87862226204</c:v>
                </c:pt>
                <c:pt idx="2">
                  <c:v>796642.78684675996</c:v>
                </c:pt>
                <c:pt idx="3">
                  <c:v>796530.57316235895</c:v>
                </c:pt>
                <c:pt idx="4">
                  <c:v>795701.56489834096</c:v>
                </c:pt>
                <c:pt idx="5">
                  <c:v>795008.51956981199</c:v>
                </c:pt>
                <c:pt idx="6">
                  <c:v>796231.62824480399</c:v>
                </c:pt>
                <c:pt idx="7">
                  <c:v>795787.74027260696</c:v>
                </c:pt>
                <c:pt idx="8">
                  <c:v>796267.35304154095</c:v>
                </c:pt>
                <c:pt idx="9">
                  <c:v>798514.00492756197</c:v>
                </c:pt>
                <c:pt idx="10">
                  <c:v>800265.81499332399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565-4703-84EB-682C395E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0495"/>
        <c:axId val="153572383"/>
        <c:extLst/>
      </c:barChart>
      <c:catAx>
        <c:axId val="14489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 Condensed" panose="020B0506020104020203" pitchFamily="34" charset="0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53572383"/>
        <c:crosses val="autoZero"/>
        <c:auto val="1"/>
        <c:lblAlgn val="ctr"/>
        <c:lblOffset val="100"/>
        <c:noMultiLvlLbl val="0"/>
      </c:catAx>
      <c:valAx>
        <c:axId val="153572383"/>
        <c:scaling>
          <c:orientation val="minMax"/>
        </c:scaling>
        <c:delete val="0"/>
        <c:axPos val="l"/>
        <c:title>
          <c:tx>
            <c:strRef>
              <c:f>EOPEX!$O$5</c:f>
              <c:strCache>
                <c:ptCount val="1"/>
                <c:pt idx="0">
                  <c:v>Sum of EOPEX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448904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 Condensed" panose="020B0506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 Condensed" panose="020B0506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EOPEX!$O$54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EOPEX!$N$55:$N$65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EOPEX!$O$55:$O$65</c:f>
              <c:numCache>
                <c:formatCode>0</c:formatCode>
                <c:ptCount val="11"/>
                <c:pt idx="0">
                  <c:v>808058.21512385004</c:v>
                </c:pt>
                <c:pt idx="1">
                  <c:v>807863.595665487</c:v>
                </c:pt>
                <c:pt idx="2">
                  <c:v>811588.96768260002</c:v>
                </c:pt>
                <c:pt idx="3">
                  <c:v>808877.053867999</c:v>
                </c:pt>
                <c:pt idx="4">
                  <c:v>807195.26804419304</c:v>
                </c:pt>
                <c:pt idx="5">
                  <c:v>814114.01129948499</c:v>
                </c:pt>
                <c:pt idx="6">
                  <c:v>810987.91858748998</c:v>
                </c:pt>
                <c:pt idx="7">
                  <c:v>807595.44558406202</c:v>
                </c:pt>
                <c:pt idx="8">
                  <c:v>807664.98465210304</c:v>
                </c:pt>
                <c:pt idx="9">
                  <c:v>813620.18997026596</c:v>
                </c:pt>
                <c:pt idx="10">
                  <c:v>805431.85321151605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B-429B-BD2A-52993ADA1466}"/>
            </c:ext>
          </c:extLst>
        </c:ser>
        <c:ser>
          <c:idx val="0"/>
          <c:order val="1"/>
          <c:tx>
            <c:strRef>
              <c:f>EOPEX!$P$54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EOPEX!$N$55:$N$65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EOPEX!$P$55:$P$65</c:f>
              <c:numCache>
                <c:formatCode>0</c:formatCode>
                <c:ptCount val="11"/>
                <c:pt idx="0">
                  <c:v>800627.13547786896</c:v>
                </c:pt>
                <c:pt idx="1">
                  <c:v>800160.25852527295</c:v>
                </c:pt>
                <c:pt idx="2">
                  <c:v>806827.56661677605</c:v>
                </c:pt>
                <c:pt idx="3">
                  <c:v>820628.88878700696</c:v>
                </c:pt>
                <c:pt idx="4">
                  <c:v>800162.67143617896</c:v>
                </c:pt>
                <c:pt idx="5">
                  <c:v>800062.59741890396</c:v>
                </c:pt>
                <c:pt idx="6">
                  <c:v>800598.89947486203</c:v>
                </c:pt>
                <c:pt idx="7">
                  <c:v>802775.12080624094</c:v>
                </c:pt>
                <c:pt idx="8">
                  <c:v>804182.06078549498</c:v>
                </c:pt>
                <c:pt idx="9">
                  <c:v>805560.35022721905</c:v>
                </c:pt>
                <c:pt idx="10">
                  <c:v>811591.75319991005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B-429B-BD2A-52993ADA1466}"/>
            </c:ext>
          </c:extLst>
        </c:ser>
        <c:ser>
          <c:idx val="1"/>
          <c:order val="2"/>
          <c:tx>
            <c:strRef>
              <c:f>EOPEX!$Q$54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EOPEX!$N$55:$N$65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EOPEX!$Q$55:$Q$65</c:f>
              <c:numCache>
                <c:formatCode>0</c:formatCode>
                <c:ptCount val="11"/>
                <c:pt idx="0">
                  <c:v>800627.09233938903</c:v>
                </c:pt>
                <c:pt idx="1">
                  <c:v>800079.36192223802</c:v>
                </c:pt>
                <c:pt idx="2">
                  <c:v>800452.99423312396</c:v>
                </c:pt>
                <c:pt idx="3">
                  <c:v>800411.44831681205</c:v>
                </c:pt>
                <c:pt idx="4">
                  <c:v>800162.67143825302</c:v>
                </c:pt>
                <c:pt idx="5">
                  <c:v>800062.59741014999</c:v>
                </c:pt>
                <c:pt idx="6">
                  <c:v>802691.46862706495</c:v>
                </c:pt>
                <c:pt idx="7">
                  <c:v>803581.05294226599</c:v>
                </c:pt>
                <c:pt idx="8">
                  <c:v>805872.17378548195</c:v>
                </c:pt>
                <c:pt idx="9">
                  <c:v>805930.41275940603</c:v>
                </c:pt>
                <c:pt idx="10">
                  <c:v>805380.281215152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B-429B-BD2A-52993ADA1466}"/>
            </c:ext>
          </c:extLst>
        </c:ser>
        <c:ser>
          <c:idx val="2"/>
          <c:order val="3"/>
          <c:tx>
            <c:strRef>
              <c:f>EOPEX!$R$54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EOPEX!$N$55:$N$65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0.99</c:v>
                </c:pt>
              </c:numCache>
            </c:numRef>
          </c:cat>
          <c:val>
            <c:numRef>
              <c:f>EOPEX!$R$55:$R$65</c:f>
              <c:numCache>
                <c:formatCode>0</c:formatCode>
                <c:ptCount val="11"/>
                <c:pt idx="0">
                  <c:v>796469.72021323501</c:v>
                </c:pt>
                <c:pt idx="1">
                  <c:v>795440.87862226204</c:v>
                </c:pt>
                <c:pt idx="2">
                  <c:v>796642.78684675996</c:v>
                </c:pt>
                <c:pt idx="3">
                  <c:v>796530.57316235895</c:v>
                </c:pt>
                <c:pt idx="4">
                  <c:v>795701.56489834096</c:v>
                </c:pt>
                <c:pt idx="5">
                  <c:v>795008.51956981199</c:v>
                </c:pt>
                <c:pt idx="6">
                  <c:v>796231.62824480399</c:v>
                </c:pt>
                <c:pt idx="7">
                  <c:v>795787.74027260696</c:v>
                </c:pt>
                <c:pt idx="8">
                  <c:v>796913.55073846295</c:v>
                </c:pt>
                <c:pt idx="9">
                  <c:v>798838.70893101301</c:v>
                </c:pt>
                <c:pt idx="10">
                  <c:v>800584.98286941496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B-429B-BD2A-52993ADA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90495"/>
        <c:axId val="153572383"/>
        <c:extLst/>
      </c:barChart>
      <c:catAx>
        <c:axId val="14489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 Condensed" panose="020B0506020104020203" pitchFamily="34" charset="0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53572383"/>
        <c:crosses val="autoZero"/>
        <c:auto val="1"/>
        <c:lblAlgn val="ctr"/>
        <c:lblOffset val="100"/>
        <c:noMultiLvlLbl val="0"/>
      </c:catAx>
      <c:valAx>
        <c:axId val="153572383"/>
        <c:scaling>
          <c:orientation val="minMax"/>
          <c:min val="79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 Condensed" panose="020B0506020104020203" pitchFamily="34" charset="0"/>
                    <a:ea typeface="+mn-ea"/>
                    <a:cs typeface="+mn-cs"/>
                  </a:defRPr>
                </a:pPr>
                <a:r>
                  <a:rPr lang="en-US"/>
                  <a:t>total system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 Condensed" panose="020B0506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 Condensed" panose="020B0506020104020203" pitchFamily="34" charset="0"/>
                <a:ea typeface="+mn-ea"/>
                <a:cs typeface="+mn-cs"/>
              </a:defRPr>
            </a:pPr>
            <a:endParaRPr lang="en-US"/>
          </a:p>
        </c:txPr>
        <c:crossAx val="1448904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 Condensed" panose="020B0506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 Condensed" panose="020B0506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[06030205 - metrics.xlsx]EOPEX2!PivotTable2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EOPEX2!$B$3</c:f>
              <c:strCache>
                <c:ptCount val="1"/>
                <c:pt idx="0">
                  <c:v>Sum of E_fixed_cost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EOPEX2!$A$4:$A$59</c:f>
              <c:multiLvlStrCache>
                <c:ptCount val="44"/>
                <c:lvl>
                  <c:pt idx="0">
                    <c:v>stochastic</c:v>
                  </c:pt>
                  <c:pt idx="1">
                    <c:v>e-reserve</c:v>
                  </c:pt>
                  <c:pt idx="2">
                    <c:v>envelope</c:v>
                  </c:pt>
                  <c:pt idx="3">
                    <c:v>conservative</c:v>
                  </c:pt>
                  <c:pt idx="4">
                    <c:v>stochastic</c:v>
                  </c:pt>
                  <c:pt idx="5">
                    <c:v>e-reserve</c:v>
                  </c:pt>
                  <c:pt idx="6">
                    <c:v>envelope</c:v>
                  </c:pt>
                  <c:pt idx="7">
                    <c:v>conservative</c:v>
                  </c:pt>
                  <c:pt idx="8">
                    <c:v>stochastic</c:v>
                  </c:pt>
                  <c:pt idx="9">
                    <c:v>e-reserve</c:v>
                  </c:pt>
                  <c:pt idx="10">
                    <c:v>envelope</c:v>
                  </c:pt>
                  <c:pt idx="11">
                    <c:v>conservative</c:v>
                  </c:pt>
                  <c:pt idx="12">
                    <c:v>stochastic</c:v>
                  </c:pt>
                  <c:pt idx="13">
                    <c:v>e-reserve</c:v>
                  </c:pt>
                  <c:pt idx="14">
                    <c:v>envelope</c:v>
                  </c:pt>
                  <c:pt idx="15">
                    <c:v>conservative</c:v>
                  </c:pt>
                  <c:pt idx="16">
                    <c:v>stochastic</c:v>
                  </c:pt>
                  <c:pt idx="17">
                    <c:v>e-reserve</c:v>
                  </c:pt>
                  <c:pt idx="18">
                    <c:v>envelope</c:v>
                  </c:pt>
                  <c:pt idx="19">
                    <c:v>conservative</c:v>
                  </c:pt>
                  <c:pt idx="20">
                    <c:v>stochastic</c:v>
                  </c:pt>
                  <c:pt idx="21">
                    <c:v>e-reserve</c:v>
                  </c:pt>
                  <c:pt idx="22">
                    <c:v>envelope</c:v>
                  </c:pt>
                  <c:pt idx="23">
                    <c:v>conservative</c:v>
                  </c:pt>
                  <c:pt idx="24">
                    <c:v>stochastic</c:v>
                  </c:pt>
                  <c:pt idx="25">
                    <c:v>e-reserve</c:v>
                  </c:pt>
                  <c:pt idx="26">
                    <c:v>envelope</c:v>
                  </c:pt>
                  <c:pt idx="27">
                    <c:v>conservative</c:v>
                  </c:pt>
                  <c:pt idx="28">
                    <c:v>stochastic</c:v>
                  </c:pt>
                  <c:pt idx="29">
                    <c:v>e-reserve</c:v>
                  </c:pt>
                  <c:pt idx="30">
                    <c:v>envelope</c:v>
                  </c:pt>
                  <c:pt idx="31">
                    <c:v>conservative</c:v>
                  </c:pt>
                  <c:pt idx="32">
                    <c:v>stochastic</c:v>
                  </c:pt>
                  <c:pt idx="33">
                    <c:v>e-reserve</c:v>
                  </c:pt>
                  <c:pt idx="34">
                    <c:v>envelope</c:v>
                  </c:pt>
                  <c:pt idx="35">
                    <c:v>conservative</c:v>
                  </c:pt>
                  <c:pt idx="36">
                    <c:v>stochastic</c:v>
                  </c:pt>
                  <c:pt idx="37">
                    <c:v>e-reserve</c:v>
                  </c:pt>
                  <c:pt idx="38">
                    <c:v>envelope</c:v>
                  </c:pt>
                  <c:pt idx="39">
                    <c:v>conservative</c:v>
                  </c:pt>
                  <c:pt idx="40">
                    <c:v>stochastic</c:v>
                  </c:pt>
                  <c:pt idx="41">
                    <c:v>e-reserve</c:v>
                  </c:pt>
                  <c:pt idx="42">
                    <c:v>envelope</c:v>
                  </c:pt>
                  <c:pt idx="43">
                    <c:v>conservative</c:v>
                  </c:pt>
                </c:lvl>
                <c:lvl>
                  <c:pt idx="0">
                    <c:v>0</c:v>
                  </c:pt>
                  <c:pt idx="4">
                    <c:v>0.1</c:v>
                  </c:pt>
                  <c:pt idx="8">
                    <c:v>0.2</c:v>
                  </c:pt>
                  <c:pt idx="12">
                    <c:v>0.3</c:v>
                  </c:pt>
                  <c:pt idx="16">
                    <c:v>0.4</c:v>
                  </c:pt>
                  <c:pt idx="20">
                    <c:v>0.5</c:v>
                  </c:pt>
                  <c:pt idx="24">
                    <c:v>0.6</c:v>
                  </c:pt>
                  <c:pt idx="28">
                    <c:v>0.7</c:v>
                  </c:pt>
                  <c:pt idx="32">
                    <c:v>0.8</c:v>
                  </c:pt>
                  <c:pt idx="36">
                    <c:v>0.9</c:v>
                  </c:pt>
                  <c:pt idx="40">
                    <c:v>0.99</c:v>
                  </c:pt>
                </c:lvl>
              </c:multiLvlStrCache>
            </c:multiLvlStrRef>
          </c:cat>
          <c:val>
            <c:numRef>
              <c:f>EOPEX2!$B$4:$B$59</c:f>
              <c:numCache>
                <c:formatCode>General</c:formatCode>
                <c:ptCount val="44"/>
                <c:pt idx="0">
                  <c:v>51215.538215999797</c:v>
                </c:pt>
                <c:pt idx="1">
                  <c:v>51215.538215999797</c:v>
                </c:pt>
                <c:pt idx="2">
                  <c:v>51215.538215999797</c:v>
                </c:pt>
                <c:pt idx="3">
                  <c:v>57486.303755999797</c:v>
                </c:pt>
                <c:pt idx="4">
                  <c:v>51215.538215999797</c:v>
                </c:pt>
                <c:pt idx="5">
                  <c:v>50938.139691999997</c:v>
                </c:pt>
                <c:pt idx="6">
                  <c:v>51215.538215999797</c:v>
                </c:pt>
                <c:pt idx="7">
                  <c:v>57213.661775999899</c:v>
                </c:pt>
                <c:pt idx="8">
                  <c:v>51215.538215999797</c:v>
                </c:pt>
                <c:pt idx="9">
                  <c:v>51215.538215999797</c:v>
                </c:pt>
                <c:pt idx="10">
                  <c:v>51215.538215999797</c:v>
                </c:pt>
                <c:pt idx="11">
                  <c:v>57486.303755999797</c:v>
                </c:pt>
                <c:pt idx="12">
                  <c:v>51215.538215999797</c:v>
                </c:pt>
                <c:pt idx="13">
                  <c:v>51215.538215999797</c:v>
                </c:pt>
                <c:pt idx="14">
                  <c:v>51215.538215999797</c:v>
                </c:pt>
                <c:pt idx="15">
                  <c:v>57486.303755999797</c:v>
                </c:pt>
                <c:pt idx="16">
                  <c:v>51215.538215999797</c:v>
                </c:pt>
                <c:pt idx="17">
                  <c:v>51215.538215999797</c:v>
                </c:pt>
                <c:pt idx="18">
                  <c:v>51215.538215999797</c:v>
                </c:pt>
                <c:pt idx="19">
                  <c:v>57213.661775999899</c:v>
                </c:pt>
                <c:pt idx="20">
                  <c:v>51215.538215999797</c:v>
                </c:pt>
                <c:pt idx="21">
                  <c:v>51215.538215999797</c:v>
                </c:pt>
                <c:pt idx="22">
                  <c:v>51215.538215999797</c:v>
                </c:pt>
                <c:pt idx="23">
                  <c:v>57213.661775999899</c:v>
                </c:pt>
                <c:pt idx="24">
                  <c:v>51215.538215999797</c:v>
                </c:pt>
                <c:pt idx="25">
                  <c:v>52429.688109999799</c:v>
                </c:pt>
                <c:pt idx="26">
                  <c:v>51215.538215999797</c:v>
                </c:pt>
                <c:pt idx="27">
                  <c:v>57213.661775999899</c:v>
                </c:pt>
                <c:pt idx="28">
                  <c:v>51215.538215999797</c:v>
                </c:pt>
                <c:pt idx="29">
                  <c:v>52557.493361999899</c:v>
                </c:pt>
                <c:pt idx="30">
                  <c:v>52429.688109999799</c:v>
                </c:pt>
                <c:pt idx="31">
                  <c:v>57213.661775999899</c:v>
                </c:pt>
                <c:pt idx="32">
                  <c:v>51215.538215999797</c:v>
                </c:pt>
                <c:pt idx="33">
                  <c:v>56390.979291999902</c:v>
                </c:pt>
                <c:pt idx="34">
                  <c:v>52685.298613999897</c:v>
                </c:pt>
                <c:pt idx="35">
                  <c:v>57486.303755999797</c:v>
                </c:pt>
                <c:pt idx="36">
                  <c:v>52557.493361999899</c:v>
                </c:pt>
                <c:pt idx="37">
                  <c:v>56668.377816</c:v>
                </c:pt>
                <c:pt idx="38">
                  <c:v>56395.735836</c:v>
                </c:pt>
                <c:pt idx="39">
                  <c:v>57213.661775999899</c:v>
                </c:pt>
                <c:pt idx="40">
                  <c:v>52685.298613999897</c:v>
                </c:pt>
                <c:pt idx="41">
                  <c:v>56668.377816</c:v>
                </c:pt>
                <c:pt idx="42">
                  <c:v>56668.377816</c:v>
                </c:pt>
                <c:pt idx="43">
                  <c:v>56663.6212719998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3-415E-AF97-EB514E015935}"/>
            </c:ext>
          </c:extLst>
        </c:ser>
        <c:ser>
          <c:idx val="2"/>
          <c:order val="2"/>
          <c:tx>
            <c:strRef>
              <c:f>EOPEX2!$D$3</c:f>
              <c:strCache>
                <c:ptCount val="1"/>
                <c:pt idx="0">
                  <c:v>Sum of EENS_cost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EOPEX2!$A$4:$A$59</c:f>
              <c:multiLvlStrCache>
                <c:ptCount val="44"/>
                <c:lvl>
                  <c:pt idx="0">
                    <c:v>stochastic</c:v>
                  </c:pt>
                  <c:pt idx="1">
                    <c:v>e-reserve</c:v>
                  </c:pt>
                  <c:pt idx="2">
                    <c:v>envelope</c:v>
                  </c:pt>
                  <c:pt idx="3">
                    <c:v>conservative</c:v>
                  </c:pt>
                  <c:pt idx="4">
                    <c:v>stochastic</c:v>
                  </c:pt>
                  <c:pt idx="5">
                    <c:v>e-reserve</c:v>
                  </c:pt>
                  <c:pt idx="6">
                    <c:v>envelope</c:v>
                  </c:pt>
                  <c:pt idx="7">
                    <c:v>conservative</c:v>
                  </c:pt>
                  <c:pt idx="8">
                    <c:v>stochastic</c:v>
                  </c:pt>
                  <c:pt idx="9">
                    <c:v>e-reserve</c:v>
                  </c:pt>
                  <c:pt idx="10">
                    <c:v>envelope</c:v>
                  </c:pt>
                  <c:pt idx="11">
                    <c:v>conservative</c:v>
                  </c:pt>
                  <c:pt idx="12">
                    <c:v>stochastic</c:v>
                  </c:pt>
                  <c:pt idx="13">
                    <c:v>e-reserve</c:v>
                  </c:pt>
                  <c:pt idx="14">
                    <c:v>envelope</c:v>
                  </c:pt>
                  <c:pt idx="15">
                    <c:v>conservative</c:v>
                  </c:pt>
                  <c:pt idx="16">
                    <c:v>stochastic</c:v>
                  </c:pt>
                  <c:pt idx="17">
                    <c:v>e-reserve</c:v>
                  </c:pt>
                  <c:pt idx="18">
                    <c:v>envelope</c:v>
                  </c:pt>
                  <c:pt idx="19">
                    <c:v>conservative</c:v>
                  </c:pt>
                  <c:pt idx="20">
                    <c:v>stochastic</c:v>
                  </c:pt>
                  <c:pt idx="21">
                    <c:v>e-reserve</c:v>
                  </c:pt>
                  <c:pt idx="22">
                    <c:v>envelope</c:v>
                  </c:pt>
                  <c:pt idx="23">
                    <c:v>conservative</c:v>
                  </c:pt>
                  <c:pt idx="24">
                    <c:v>stochastic</c:v>
                  </c:pt>
                  <c:pt idx="25">
                    <c:v>e-reserve</c:v>
                  </c:pt>
                  <c:pt idx="26">
                    <c:v>envelope</c:v>
                  </c:pt>
                  <c:pt idx="27">
                    <c:v>conservative</c:v>
                  </c:pt>
                  <c:pt idx="28">
                    <c:v>stochastic</c:v>
                  </c:pt>
                  <c:pt idx="29">
                    <c:v>e-reserve</c:v>
                  </c:pt>
                  <c:pt idx="30">
                    <c:v>envelope</c:v>
                  </c:pt>
                  <c:pt idx="31">
                    <c:v>conservative</c:v>
                  </c:pt>
                  <c:pt idx="32">
                    <c:v>stochastic</c:v>
                  </c:pt>
                  <c:pt idx="33">
                    <c:v>e-reserve</c:v>
                  </c:pt>
                  <c:pt idx="34">
                    <c:v>envelope</c:v>
                  </c:pt>
                  <c:pt idx="35">
                    <c:v>conservative</c:v>
                  </c:pt>
                  <c:pt idx="36">
                    <c:v>stochastic</c:v>
                  </c:pt>
                  <c:pt idx="37">
                    <c:v>e-reserve</c:v>
                  </c:pt>
                  <c:pt idx="38">
                    <c:v>envelope</c:v>
                  </c:pt>
                  <c:pt idx="39">
                    <c:v>conservative</c:v>
                  </c:pt>
                  <c:pt idx="40">
                    <c:v>stochastic</c:v>
                  </c:pt>
                  <c:pt idx="41">
                    <c:v>e-reserve</c:v>
                  </c:pt>
                  <c:pt idx="42">
                    <c:v>envelope</c:v>
                  </c:pt>
                  <c:pt idx="43">
                    <c:v>conservative</c:v>
                  </c:pt>
                </c:lvl>
                <c:lvl>
                  <c:pt idx="0">
                    <c:v>0</c:v>
                  </c:pt>
                  <c:pt idx="4">
                    <c:v>0.1</c:v>
                  </c:pt>
                  <c:pt idx="8">
                    <c:v>0.2</c:v>
                  </c:pt>
                  <c:pt idx="12">
                    <c:v>0.3</c:v>
                  </c:pt>
                  <c:pt idx="16">
                    <c:v>0.4</c:v>
                  </c:pt>
                  <c:pt idx="20">
                    <c:v>0.5</c:v>
                  </c:pt>
                  <c:pt idx="24">
                    <c:v>0.6</c:v>
                  </c:pt>
                  <c:pt idx="28">
                    <c:v>0.7</c:v>
                  </c:pt>
                  <c:pt idx="32">
                    <c:v>0.8</c:v>
                  </c:pt>
                  <c:pt idx="36">
                    <c:v>0.9</c:v>
                  </c:pt>
                  <c:pt idx="40">
                    <c:v>0.99</c:v>
                  </c:pt>
                </c:lvl>
              </c:multiLvlStrCache>
            </c:multiLvlStrRef>
          </c:cat>
          <c:val>
            <c:numRef>
              <c:f>EOPEX2!$D$4:$D$59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6374.5723839761304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20217.440465076899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6240.7091142769405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C8-4C97-89F0-4195481E1E38}"/>
            </c:ext>
          </c:extLst>
        </c:ser>
        <c:ser>
          <c:idx val="1"/>
          <c:order val="1"/>
          <c:tx>
            <c:strRef>
              <c:f>EOPEX2!$C$3</c:f>
              <c:strCache>
                <c:ptCount val="1"/>
                <c:pt idx="0">
                  <c:v>Sum of E_production_cost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EOPEX2!$A$4:$A$59</c:f>
              <c:multiLvlStrCache>
                <c:ptCount val="44"/>
                <c:lvl>
                  <c:pt idx="0">
                    <c:v>stochastic</c:v>
                  </c:pt>
                  <c:pt idx="1">
                    <c:v>e-reserve</c:v>
                  </c:pt>
                  <c:pt idx="2">
                    <c:v>envelope</c:v>
                  </c:pt>
                  <c:pt idx="3">
                    <c:v>conservative</c:v>
                  </c:pt>
                  <c:pt idx="4">
                    <c:v>stochastic</c:v>
                  </c:pt>
                  <c:pt idx="5">
                    <c:v>e-reserve</c:v>
                  </c:pt>
                  <c:pt idx="6">
                    <c:v>envelope</c:v>
                  </c:pt>
                  <c:pt idx="7">
                    <c:v>conservative</c:v>
                  </c:pt>
                  <c:pt idx="8">
                    <c:v>stochastic</c:v>
                  </c:pt>
                  <c:pt idx="9">
                    <c:v>e-reserve</c:v>
                  </c:pt>
                  <c:pt idx="10">
                    <c:v>envelope</c:v>
                  </c:pt>
                  <c:pt idx="11">
                    <c:v>conservative</c:v>
                  </c:pt>
                  <c:pt idx="12">
                    <c:v>stochastic</c:v>
                  </c:pt>
                  <c:pt idx="13">
                    <c:v>e-reserve</c:v>
                  </c:pt>
                  <c:pt idx="14">
                    <c:v>envelope</c:v>
                  </c:pt>
                  <c:pt idx="15">
                    <c:v>conservative</c:v>
                  </c:pt>
                  <c:pt idx="16">
                    <c:v>stochastic</c:v>
                  </c:pt>
                  <c:pt idx="17">
                    <c:v>e-reserve</c:v>
                  </c:pt>
                  <c:pt idx="18">
                    <c:v>envelope</c:v>
                  </c:pt>
                  <c:pt idx="19">
                    <c:v>conservative</c:v>
                  </c:pt>
                  <c:pt idx="20">
                    <c:v>stochastic</c:v>
                  </c:pt>
                  <c:pt idx="21">
                    <c:v>e-reserve</c:v>
                  </c:pt>
                  <c:pt idx="22">
                    <c:v>envelope</c:v>
                  </c:pt>
                  <c:pt idx="23">
                    <c:v>conservative</c:v>
                  </c:pt>
                  <c:pt idx="24">
                    <c:v>stochastic</c:v>
                  </c:pt>
                  <c:pt idx="25">
                    <c:v>e-reserve</c:v>
                  </c:pt>
                  <c:pt idx="26">
                    <c:v>envelope</c:v>
                  </c:pt>
                  <c:pt idx="27">
                    <c:v>conservative</c:v>
                  </c:pt>
                  <c:pt idx="28">
                    <c:v>stochastic</c:v>
                  </c:pt>
                  <c:pt idx="29">
                    <c:v>e-reserve</c:v>
                  </c:pt>
                  <c:pt idx="30">
                    <c:v>envelope</c:v>
                  </c:pt>
                  <c:pt idx="31">
                    <c:v>conservative</c:v>
                  </c:pt>
                  <c:pt idx="32">
                    <c:v>stochastic</c:v>
                  </c:pt>
                  <c:pt idx="33">
                    <c:v>e-reserve</c:v>
                  </c:pt>
                  <c:pt idx="34">
                    <c:v>envelope</c:v>
                  </c:pt>
                  <c:pt idx="35">
                    <c:v>conservative</c:v>
                  </c:pt>
                  <c:pt idx="36">
                    <c:v>stochastic</c:v>
                  </c:pt>
                  <c:pt idx="37">
                    <c:v>e-reserve</c:v>
                  </c:pt>
                  <c:pt idx="38">
                    <c:v>envelope</c:v>
                  </c:pt>
                  <c:pt idx="39">
                    <c:v>conservative</c:v>
                  </c:pt>
                  <c:pt idx="40">
                    <c:v>stochastic</c:v>
                  </c:pt>
                  <c:pt idx="41">
                    <c:v>e-reserve</c:v>
                  </c:pt>
                  <c:pt idx="42">
                    <c:v>envelope</c:v>
                  </c:pt>
                  <c:pt idx="43">
                    <c:v>conservative</c:v>
                  </c:pt>
                </c:lvl>
                <c:lvl>
                  <c:pt idx="0">
                    <c:v>0</c:v>
                  </c:pt>
                  <c:pt idx="4">
                    <c:v>0.1</c:v>
                  </c:pt>
                  <c:pt idx="8">
                    <c:v>0.2</c:v>
                  </c:pt>
                  <c:pt idx="12">
                    <c:v>0.3</c:v>
                  </c:pt>
                  <c:pt idx="16">
                    <c:v>0.4</c:v>
                  </c:pt>
                  <c:pt idx="20">
                    <c:v>0.5</c:v>
                  </c:pt>
                  <c:pt idx="24">
                    <c:v>0.6</c:v>
                  </c:pt>
                  <c:pt idx="28">
                    <c:v>0.7</c:v>
                  </c:pt>
                  <c:pt idx="32">
                    <c:v>0.8</c:v>
                  </c:pt>
                  <c:pt idx="36">
                    <c:v>0.9</c:v>
                  </c:pt>
                  <c:pt idx="40">
                    <c:v>0.99</c:v>
                  </c:pt>
                </c:lvl>
              </c:multiLvlStrCache>
            </c:multiLvlStrRef>
          </c:cat>
          <c:val>
            <c:numRef>
              <c:f>EOPEX2!$C$4:$C$59</c:f>
              <c:numCache>
                <c:formatCode>General</c:formatCode>
                <c:ptCount val="44"/>
                <c:pt idx="0">
                  <c:v>745254.18199723505</c:v>
                </c:pt>
                <c:pt idx="1">
                  <c:v>749411.54421858699</c:v>
                </c:pt>
                <c:pt idx="2">
                  <c:v>749411.58735706599</c:v>
                </c:pt>
                <c:pt idx="3">
                  <c:v>750571.90146304795</c:v>
                </c:pt>
                <c:pt idx="4">
                  <c:v>744225.34040626197</c:v>
                </c:pt>
                <c:pt idx="5">
                  <c:v>749141.21253245499</c:v>
                </c:pt>
                <c:pt idx="6">
                  <c:v>748944.71061148902</c:v>
                </c:pt>
                <c:pt idx="7">
                  <c:v>750649.92419170402</c:v>
                </c:pt>
                <c:pt idx="8">
                  <c:v>745427.24863076</c:v>
                </c:pt>
                <c:pt idx="9">
                  <c:v>749237.44572555902</c:v>
                </c:pt>
                <c:pt idx="10">
                  <c:v>749237.44572523504</c:v>
                </c:pt>
                <c:pt idx="11">
                  <c:v>754102.65363503399</c:v>
                </c:pt>
                <c:pt idx="12">
                  <c:v>745315.034946359</c:v>
                </c:pt>
                <c:pt idx="13">
                  <c:v>749195.90015596803</c:v>
                </c:pt>
                <c:pt idx="14">
                  <c:v>749195.900161086</c:v>
                </c:pt>
                <c:pt idx="15">
                  <c:v>751390.74016715505</c:v>
                </c:pt>
                <c:pt idx="16">
                  <c:v>744486.02668234101</c:v>
                </c:pt>
                <c:pt idx="17">
                  <c:v>748947.12332464103</c:v>
                </c:pt>
                <c:pt idx="18">
                  <c:v>748947.12332256697</c:v>
                </c:pt>
                <c:pt idx="19">
                  <c:v>749981.596370582</c:v>
                </c:pt>
                <c:pt idx="20">
                  <c:v>743792.98135381204</c:v>
                </c:pt>
                <c:pt idx="21">
                  <c:v>748847.04924182803</c:v>
                </c:pt>
                <c:pt idx="22">
                  <c:v>748847.049250582</c:v>
                </c:pt>
                <c:pt idx="23">
                  <c:v>756900.33957116294</c:v>
                </c:pt>
                <c:pt idx="24">
                  <c:v>745016.09002880403</c:v>
                </c:pt>
                <c:pt idx="25">
                  <c:v>750261.77055308805</c:v>
                </c:pt>
                <c:pt idx="26">
                  <c:v>749383.35129488504</c:v>
                </c:pt>
                <c:pt idx="27">
                  <c:v>753774.24684751302</c:v>
                </c:pt>
                <c:pt idx="28">
                  <c:v>744572.202056607</c:v>
                </c:pt>
                <c:pt idx="29">
                  <c:v>751023.54976151197</c:v>
                </c:pt>
                <c:pt idx="30">
                  <c:v>750345.42287748703</c:v>
                </c:pt>
                <c:pt idx="31">
                  <c:v>750381.77398930897</c:v>
                </c:pt>
                <c:pt idx="32">
                  <c:v>745051.81482554099</c:v>
                </c:pt>
                <c:pt idx="33">
                  <c:v>749481.18457887298</c:v>
                </c:pt>
                <c:pt idx="34">
                  <c:v>751496.75225688599</c:v>
                </c:pt>
                <c:pt idx="35">
                  <c:v>750178.67098149494</c:v>
                </c:pt>
                <c:pt idx="36">
                  <c:v>745956.51156556199</c:v>
                </c:pt>
                <c:pt idx="37">
                  <c:v>749262.024815112</c:v>
                </c:pt>
                <c:pt idx="38">
                  <c:v>749164.60426292603</c:v>
                </c:pt>
                <c:pt idx="39">
                  <c:v>756406.51806597202</c:v>
                </c:pt>
                <c:pt idx="40">
                  <c:v>747580.51637932495</c:v>
                </c:pt>
                <c:pt idx="41">
                  <c:v>748711.89486185799</c:v>
                </c:pt>
                <c:pt idx="42">
                  <c:v>748682.65773233795</c:v>
                </c:pt>
                <c:pt idx="43">
                  <c:v>748768.22340222099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C8-4C97-89F0-4195481E1E38}"/>
            </c:ext>
          </c:extLst>
        </c:ser>
        <c:ser>
          <c:idx val="3"/>
          <c:order val="3"/>
          <c:tx>
            <c:strRef>
              <c:f>EOPEX2!$E$3</c:f>
              <c:strCache>
                <c:ptCount val="1"/>
                <c:pt idx="0">
                  <c:v>Sum of ELGEN_cost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EOPEX2!$A$4:$A$59</c:f>
              <c:multiLvlStrCache>
                <c:ptCount val="44"/>
                <c:lvl>
                  <c:pt idx="0">
                    <c:v>stochastic</c:v>
                  </c:pt>
                  <c:pt idx="1">
                    <c:v>e-reserve</c:v>
                  </c:pt>
                  <c:pt idx="2">
                    <c:v>envelope</c:v>
                  </c:pt>
                  <c:pt idx="3">
                    <c:v>conservative</c:v>
                  </c:pt>
                  <c:pt idx="4">
                    <c:v>stochastic</c:v>
                  </c:pt>
                  <c:pt idx="5">
                    <c:v>e-reserve</c:v>
                  </c:pt>
                  <c:pt idx="6">
                    <c:v>envelope</c:v>
                  </c:pt>
                  <c:pt idx="7">
                    <c:v>conservative</c:v>
                  </c:pt>
                  <c:pt idx="8">
                    <c:v>stochastic</c:v>
                  </c:pt>
                  <c:pt idx="9">
                    <c:v>e-reserve</c:v>
                  </c:pt>
                  <c:pt idx="10">
                    <c:v>envelope</c:v>
                  </c:pt>
                  <c:pt idx="11">
                    <c:v>conservative</c:v>
                  </c:pt>
                  <c:pt idx="12">
                    <c:v>stochastic</c:v>
                  </c:pt>
                  <c:pt idx="13">
                    <c:v>e-reserve</c:v>
                  </c:pt>
                  <c:pt idx="14">
                    <c:v>envelope</c:v>
                  </c:pt>
                  <c:pt idx="15">
                    <c:v>conservative</c:v>
                  </c:pt>
                  <c:pt idx="16">
                    <c:v>stochastic</c:v>
                  </c:pt>
                  <c:pt idx="17">
                    <c:v>e-reserve</c:v>
                  </c:pt>
                  <c:pt idx="18">
                    <c:v>envelope</c:v>
                  </c:pt>
                  <c:pt idx="19">
                    <c:v>conservative</c:v>
                  </c:pt>
                  <c:pt idx="20">
                    <c:v>stochastic</c:v>
                  </c:pt>
                  <c:pt idx="21">
                    <c:v>e-reserve</c:v>
                  </c:pt>
                  <c:pt idx="22">
                    <c:v>envelope</c:v>
                  </c:pt>
                  <c:pt idx="23">
                    <c:v>conservative</c:v>
                  </c:pt>
                  <c:pt idx="24">
                    <c:v>stochastic</c:v>
                  </c:pt>
                  <c:pt idx="25">
                    <c:v>e-reserve</c:v>
                  </c:pt>
                  <c:pt idx="26">
                    <c:v>envelope</c:v>
                  </c:pt>
                  <c:pt idx="27">
                    <c:v>conservative</c:v>
                  </c:pt>
                  <c:pt idx="28">
                    <c:v>stochastic</c:v>
                  </c:pt>
                  <c:pt idx="29">
                    <c:v>e-reserve</c:v>
                  </c:pt>
                  <c:pt idx="30">
                    <c:v>envelope</c:v>
                  </c:pt>
                  <c:pt idx="31">
                    <c:v>conservative</c:v>
                  </c:pt>
                  <c:pt idx="32">
                    <c:v>stochastic</c:v>
                  </c:pt>
                  <c:pt idx="33">
                    <c:v>e-reserve</c:v>
                  </c:pt>
                  <c:pt idx="34">
                    <c:v>envelope</c:v>
                  </c:pt>
                  <c:pt idx="35">
                    <c:v>conservative</c:v>
                  </c:pt>
                  <c:pt idx="36">
                    <c:v>stochastic</c:v>
                  </c:pt>
                  <c:pt idx="37">
                    <c:v>e-reserve</c:v>
                  </c:pt>
                  <c:pt idx="38">
                    <c:v>envelope</c:v>
                  </c:pt>
                  <c:pt idx="39">
                    <c:v>conservative</c:v>
                  </c:pt>
                  <c:pt idx="40">
                    <c:v>stochastic</c:v>
                  </c:pt>
                  <c:pt idx="41">
                    <c:v>e-reserve</c:v>
                  </c:pt>
                  <c:pt idx="42">
                    <c:v>envelope</c:v>
                  </c:pt>
                  <c:pt idx="43">
                    <c:v>conservative</c:v>
                  </c:pt>
                </c:lvl>
                <c:lvl>
                  <c:pt idx="0">
                    <c:v>0</c:v>
                  </c:pt>
                  <c:pt idx="4">
                    <c:v>0.1</c:v>
                  </c:pt>
                  <c:pt idx="8">
                    <c:v>0.2</c:v>
                  </c:pt>
                  <c:pt idx="12">
                    <c:v>0.3</c:v>
                  </c:pt>
                  <c:pt idx="16">
                    <c:v>0.4</c:v>
                  </c:pt>
                  <c:pt idx="20">
                    <c:v>0.5</c:v>
                  </c:pt>
                  <c:pt idx="24">
                    <c:v>0.6</c:v>
                  </c:pt>
                  <c:pt idx="28">
                    <c:v>0.7</c:v>
                  </c:pt>
                  <c:pt idx="32">
                    <c:v>0.8</c:v>
                  </c:pt>
                  <c:pt idx="36">
                    <c:v>0.9</c:v>
                  </c:pt>
                  <c:pt idx="40">
                    <c:v>0.99</c:v>
                  </c:pt>
                </c:lvl>
              </c:multiLvlStrCache>
            </c:multiLvlStrRef>
          </c:cat>
          <c:val>
            <c:numRef>
              <c:f>EOPEX2!$E$4:$E$59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-8.6970430857036196E-13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646.19769692231898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324.70400345111301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319.16787609091602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C8-4C97-89F0-4195481E1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249843248"/>
        <c:axId val="1633392016"/>
      </c:barChart>
      <c:catAx>
        <c:axId val="124984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92016"/>
        <c:crosses val="autoZero"/>
        <c:auto val="1"/>
        <c:lblAlgn val="ctr"/>
        <c:lblOffset val="100"/>
        <c:noMultiLvlLbl val="0"/>
      </c:catAx>
      <c:valAx>
        <c:axId val="16333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Fixed </a:t>
                </a:r>
                <a:r>
                  <a:rPr lang="en-US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Costs or EENS cost [$]</a:t>
                </a:r>
                <a:endParaRPr lang="en-US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4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[06030205 - metrics.xlsx]supply demand!PivotTable3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supply - expected</a:t>
            </a:r>
            <a:r>
              <a:rPr lang="en-US" baseline="0"/>
              <a:t> values</a:t>
            </a:r>
          </a:p>
        </c:rich>
      </c:tx>
      <c:layout>
        <c:manualLayout>
          <c:xMode val="edge"/>
          <c:yMode val="edge"/>
          <c:x val="0.44033736437150961"/>
          <c:y val="0.12292819833164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'supply demand'!$P$4:$P$5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'supply demand'!$O$6:$O$13</c:f>
              <c:multiLvlStrCache>
                <c:ptCount val="6"/>
                <c:lvl>
                  <c:pt idx="0">
                    <c:v>0.5</c:v>
                  </c:pt>
                  <c:pt idx="1">
                    <c:v>0.8</c:v>
                  </c:pt>
                  <c:pt idx="2">
                    <c:v>0.99</c:v>
                  </c:pt>
                  <c:pt idx="3">
                    <c:v>0.5</c:v>
                  </c:pt>
                  <c:pt idx="4">
                    <c:v>0.8</c:v>
                  </c:pt>
                  <c:pt idx="5">
                    <c:v>0.99</c:v>
                  </c:pt>
                </c:lvl>
                <c:lvl>
                  <c:pt idx="0">
                    <c:v>Sum of E_thermal_production_MWh</c:v>
                  </c:pt>
                  <c:pt idx="3">
                    <c:v>Sum of E_storage_discharge_MWh</c:v>
                  </c:pt>
                </c:lvl>
              </c:multiLvlStrCache>
            </c:multiLvlStrRef>
          </c:cat>
          <c:val>
            <c:numRef>
              <c:f>'supply demand'!$P$6:$P$13</c:f>
              <c:numCache>
                <c:formatCode>0</c:formatCode>
                <c:ptCount val="6"/>
                <c:pt idx="0">
                  <c:v>31884.4850824192</c:v>
                </c:pt>
                <c:pt idx="1">
                  <c:v>31879.575969551301</c:v>
                </c:pt>
                <c:pt idx="2">
                  <c:v>31939.635548106799</c:v>
                </c:pt>
                <c:pt idx="3">
                  <c:v>5569.8780217310104</c:v>
                </c:pt>
                <c:pt idx="4">
                  <c:v>5511.1866642505101</c:v>
                </c:pt>
                <c:pt idx="5">
                  <c:v>5974.2964631805798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1-4CA3-8034-E74D4BA622D3}"/>
            </c:ext>
          </c:extLst>
        </c:ser>
        <c:ser>
          <c:idx val="1"/>
          <c:order val="1"/>
          <c:tx>
            <c:strRef>
              <c:f>'supply demand'!$Q$4:$Q$5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'supply demand'!$O$6:$O$13</c:f>
              <c:multiLvlStrCache>
                <c:ptCount val="6"/>
                <c:lvl>
                  <c:pt idx="0">
                    <c:v>0.5</c:v>
                  </c:pt>
                  <c:pt idx="1">
                    <c:v>0.8</c:v>
                  </c:pt>
                  <c:pt idx="2">
                    <c:v>0.99</c:v>
                  </c:pt>
                  <c:pt idx="3">
                    <c:v>0.5</c:v>
                  </c:pt>
                  <c:pt idx="4">
                    <c:v>0.8</c:v>
                  </c:pt>
                  <c:pt idx="5">
                    <c:v>0.99</c:v>
                  </c:pt>
                </c:lvl>
                <c:lvl>
                  <c:pt idx="0">
                    <c:v>Sum of E_thermal_production_MWh</c:v>
                  </c:pt>
                  <c:pt idx="3">
                    <c:v>Sum of E_storage_discharge_MWh</c:v>
                  </c:pt>
                </c:lvl>
              </c:multiLvlStrCache>
            </c:multiLvlStrRef>
          </c:cat>
          <c:val>
            <c:numRef>
              <c:f>'supply demand'!$Q$6:$Q$13</c:f>
              <c:numCache>
                <c:formatCode>0</c:formatCode>
                <c:ptCount val="6"/>
                <c:pt idx="0">
                  <c:v>31884.4850824192</c:v>
                </c:pt>
                <c:pt idx="1">
                  <c:v>31864.9577891058</c:v>
                </c:pt>
                <c:pt idx="2">
                  <c:v>31940.094138005599</c:v>
                </c:pt>
                <c:pt idx="3">
                  <c:v>5526.1091845398296</c:v>
                </c:pt>
                <c:pt idx="4">
                  <c:v>5243.6607367417801</c:v>
                </c:pt>
                <c:pt idx="5">
                  <c:v>5965.9707873563002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B1-4CA3-8034-E74D4BA622D3}"/>
            </c:ext>
          </c:extLst>
        </c:ser>
        <c:ser>
          <c:idx val="2"/>
          <c:order val="2"/>
          <c:tx>
            <c:strRef>
              <c:f>'supply demand'!$R$4:$R$5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'supply demand'!$O$6:$O$13</c:f>
              <c:multiLvlStrCache>
                <c:ptCount val="6"/>
                <c:lvl>
                  <c:pt idx="0">
                    <c:v>0.5</c:v>
                  </c:pt>
                  <c:pt idx="1">
                    <c:v>0.8</c:v>
                  </c:pt>
                  <c:pt idx="2">
                    <c:v>0.99</c:v>
                  </c:pt>
                  <c:pt idx="3">
                    <c:v>0.5</c:v>
                  </c:pt>
                  <c:pt idx="4">
                    <c:v>0.8</c:v>
                  </c:pt>
                  <c:pt idx="5">
                    <c:v>0.99</c:v>
                  </c:pt>
                </c:lvl>
                <c:lvl>
                  <c:pt idx="0">
                    <c:v>Sum of E_thermal_production_MWh</c:v>
                  </c:pt>
                  <c:pt idx="3">
                    <c:v>Sum of E_storage_discharge_MWh</c:v>
                  </c:pt>
                </c:lvl>
              </c:multiLvlStrCache>
            </c:multiLvlStrRef>
          </c:cat>
          <c:val>
            <c:numRef>
              <c:f>'supply demand'!$R$6:$R$13</c:f>
              <c:numCache>
                <c:formatCode>0</c:formatCode>
                <c:ptCount val="6"/>
                <c:pt idx="0">
                  <c:v>31720.751947542001</c:v>
                </c:pt>
                <c:pt idx="1">
                  <c:v>31715.110665291799</c:v>
                </c:pt>
                <c:pt idx="2">
                  <c:v>31826.336722305899</c:v>
                </c:pt>
                <c:pt idx="3">
                  <c:v>5636.9776814979195</c:v>
                </c:pt>
                <c:pt idx="4">
                  <c:v>5597.3611574255201</c:v>
                </c:pt>
                <c:pt idx="5">
                  <c:v>6210.1210994667999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B1-4CA3-8034-E74D4BA622D3}"/>
            </c:ext>
          </c:extLst>
        </c:ser>
        <c:ser>
          <c:idx val="3"/>
          <c:order val="3"/>
          <c:tx>
            <c:strRef>
              <c:f>'supply demand'!$S$4:$S$5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'supply demand'!$O$6:$O$13</c:f>
              <c:multiLvlStrCache>
                <c:ptCount val="6"/>
                <c:lvl>
                  <c:pt idx="0">
                    <c:v>0.5</c:v>
                  </c:pt>
                  <c:pt idx="1">
                    <c:v>0.8</c:v>
                  </c:pt>
                  <c:pt idx="2">
                    <c:v>0.99</c:v>
                  </c:pt>
                  <c:pt idx="3">
                    <c:v>0.5</c:v>
                  </c:pt>
                  <c:pt idx="4">
                    <c:v>0.8</c:v>
                  </c:pt>
                  <c:pt idx="5">
                    <c:v>0.99</c:v>
                  </c:pt>
                </c:lvl>
                <c:lvl>
                  <c:pt idx="0">
                    <c:v>Sum of E_thermal_production_MWh</c:v>
                  </c:pt>
                  <c:pt idx="3">
                    <c:v>Sum of E_storage_discharge_MWh</c:v>
                  </c:pt>
                </c:lvl>
              </c:multiLvlStrCache>
            </c:multiLvlStrRef>
          </c:cat>
          <c:val>
            <c:numRef>
              <c:f>'supply demand'!$S$6:$S$13</c:f>
              <c:numCache>
                <c:formatCode>0</c:formatCode>
                <c:ptCount val="6"/>
                <c:pt idx="0">
                  <c:v>32103.963287345199</c:v>
                </c:pt>
                <c:pt idx="1">
                  <c:v>31818.6979762833</c:v>
                </c:pt>
                <c:pt idx="2">
                  <c:v>31939.6355481067</c:v>
                </c:pt>
                <c:pt idx="3">
                  <c:v>5199.1736228310001</c:v>
                </c:pt>
                <c:pt idx="4">
                  <c:v>5075.3201079363798</c:v>
                </c:pt>
                <c:pt idx="5">
                  <c:v>5934.8157107327797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B-4FF9-8E77-E07667021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114208"/>
        <c:axId val="413116608"/>
      </c:barChart>
      <c:catAx>
        <c:axId val="4131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116608"/>
        <c:crosses val="autoZero"/>
        <c:auto val="1"/>
        <c:lblAlgn val="ctr"/>
        <c:lblOffset val="100"/>
        <c:noMultiLvlLbl val="0"/>
      </c:catAx>
      <c:valAx>
        <c:axId val="4131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114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[06030205 - metrics.xlsx]supply demand!PivotTable4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demand - expected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'supply demand'!$P$28:$P$29</c:f>
              <c:strCache>
                <c:ptCount val="1"/>
                <c:pt idx="0">
                  <c:v>envelope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'supply demand'!$O$30:$O$33</c:f>
              <c:strCache>
                <c:ptCount val="3"/>
                <c:pt idx="0">
                  <c:v>0.5</c:v>
                </c:pt>
                <c:pt idx="1">
                  <c:v>0.8</c:v>
                </c:pt>
                <c:pt idx="2">
                  <c:v>0.99</c:v>
                </c:pt>
              </c:strCache>
            </c:strRef>
          </c:cat>
          <c:val>
            <c:numRef>
              <c:f>'supply demand'!$P$30:$P$33</c:f>
              <c:numCache>
                <c:formatCode>General</c:formatCode>
                <c:ptCount val="3"/>
                <c:pt idx="0">
                  <c:v>6277.2416078900296</c:v>
                </c:pt>
                <c:pt idx="1">
                  <c:v>6631.6180625543702</c:v>
                </c:pt>
                <c:pt idx="2">
                  <c:v>6456.3168051327302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7-41B2-B6E7-7EE5DE0C4B12}"/>
            </c:ext>
          </c:extLst>
        </c:ser>
        <c:ser>
          <c:idx val="1"/>
          <c:order val="1"/>
          <c:tx>
            <c:strRef>
              <c:f>'supply demand'!$Q$28:$Q$29</c:f>
              <c:strCache>
                <c:ptCount val="1"/>
                <c:pt idx="0">
                  <c:v>e-reserve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'supply demand'!$O$30:$O$33</c:f>
              <c:strCache>
                <c:ptCount val="3"/>
                <c:pt idx="0">
                  <c:v>0.5</c:v>
                </c:pt>
                <c:pt idx="1">
                  <c:v>0.8</c:v>
                </c:pt>
                <c:pt idx="2">
                  <c:v>0.99</c:v>
                </c:pt>
              </c:strCache>
            </c:strRef>
          </c:cat>
          <c:val>
            <c:numRef>
              <c:f>'supply demand'!$Q$30:$Q$33</c:f>
              <c:numCache>
                <c:formatCode>General</c:formatCode>
                <c:ptCount val="3"/>
                <c:pt idx="0">
                  <c:v>6233.4727706988497</c:v>
                </c:pt>
                <c:pt idx="1">
                  <c:v>6349.4739546001201</c:v>
                </c:pt>
                <c:pt idx="2">
                  <c:v>6447.8256482958404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87-41B2-B6E7-7EE5DE0C4B12}"/>
            </c:ext>
          </c:extLst>
        </c:ser>
        <c:ser>
          <c:idx val="2"/>
          <c:order val="2"/>
          <c:tx>
            <c:strRef>
              <c:f>'supply demand'!$R$28:$R$29</c:f>
              <c:strCache>
                <c:ptCount val="1"/>
                <c:pt idx="0">
                  <c:v>stochastic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'supply demand'!$O$30:$O$33</c:f>
              <c:strCache>
                <c:ptCount val="3"/>
                <c:pt idx="0">
                  <c:v>0.5</c:v>
                </c:pt>
                <c:pt idx="1">
                  <c:v>0.8</c:v>
                </c:pt>
                <c:pt idx="2">
                  <c:v>0.99</c:v>
                </c:pt>
              </c:strCache>
            </c:strRef>
          </c:cat>
          <c:val>
            <c:numRef>
              <c:f>'supply demand'!$R$30:$R$33</c:f>
              <c:numCache>
                <c:formatCode>General</c:formatCode>
                <c:ptCount val="3"/>
                <c:pt idx="0">
                  <c:v>6180.6081327797101</c:v>
                </c:pt>
                <c:pt idx="1">
                  <c:v>6552.6810537729098</c:v>
                </c:pt>
                <c:pt idx="2">
                  <c:v>6577.89937683072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87-41B2-B6E7-7EE5DE0C4B12}"/>
            </c:ext>
          </c:extLst>
        </c:ser>
        <c:ser>
          <c:idx val="3"/>
          <c:order val="3"/>
          <c:tx>
            <c:strRef>
              <c:f>'supply demand'!$S$28:$S$29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'supply demand'!$O$30:$O$33</c:f>
              <c:strCache>
                <c:ptCount val="3"/>
                <c:pt idx="0">
                  <c:v>0.5</c:v>
                </c:pt>
                <c:pt idx="1">
                  <c:v>0.8</c:v>
                </c:pt>
                <c:pt idx="2">
                  <c:v>0.99</c:v>
                </c:pt>
              </c:strCache>
            </c:strRef>
          </c:cat>
          <c:val>
            <c:numRef>
              <c:f>'supply demand'!$S$30:$S$33</c:f>
              <c:numCache>
                <c:formatCode>General</c:formatCode>
                <c:ptCount val="3"/>
                <c:pt idx="0">
                  <c:v>6126.0154139160004</c:v>
                </c:pt>
                <c:pt idx="1">
                  <c:v>6134.87351297228</c:v>
                </c:pt>
                <c:pt idx="2">
                  <c:v>6416.2119817735002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1-4534-A8BA-AB824683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574384"/>
        <c:axId val="2111582544"/>
      </c:barChart>
      <c:catAx>
        <c:axId val="211157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582544"/>
        <c:crosses val="autoZero"/>
        <c:auto val="1"/>
        <c:lblAlgn val="ctr"/>
        <c:lblOffset val="100"/>
        <c:noMultiLvlLbl val="0"/>
      </c:catAx>
      <c:valAx>
        <c:axId val="2111582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574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22225</xdr:colOff>
      <xdr:row>19</xdr:row>
      <xdr:rowOff>117475</xdr:rowOff>
    </xdr:from>
    <xdr:to>
      <xdr:col>24</xdr:col>
      <xdr:colOff>299085</xdr:colOff>
      <xdr:row>38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4DB18-CC13-49D2-AC2B-AF5BCB808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40</xdr:row>
      <xdr:rowOff>85725</xdr:rowOff>
    </xdr:from>
    <xdr:to>
      <xdr:col>24</xdr:col>
      <xdr:colOff>286385</xdr:colOff>
      <xdr:row>59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6F7F27-4B7B-4BF2-986B-A70BCF721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542925</xdr:colOff>
      <xdr:row>25</xdr:row>
      <xdr:rowOff>180975</xdr:rowOff>
    </xdr:from>
    <xdr:to>
      <xdr:col>26</xdr:col>
      <xdr:colOff>361950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E5A43F-B20B-DA48-F41A-D16A4FC24BF1}"/>
            </a:ext>
          </a:extLst>
        </xdr:cNvPr>
        <xdr:cNvSpPr txBox="1"/>
      </xdr:nvSpPr>
      <xdr:spPr>
        <a:xfrm>
          <a:off x="17706975" y="4943475"/>
          <a:ext cx="582930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Check:</a:t>
          </a:r>
          <a:br>
            <a:rPr lang="en-US" sz="1100"/>
          </a:br>
          <a:r>
            <a:rPr lang="en-US" sz="1100"/>
            <a:t>EOV = EOPEX + LGEN_cost and EENS_cost</a:t>
          </a:r>
        </a:p>
        <a:p>
          <a:r>
            <a:rPr lang="en-US" sz="1100"/>
            <a:t>Redispatch cost of zero means that OPEX (operational + fixed + start) costs in DA and RT are the same</a:t>
          </a:r>
        </a:p>
      </xdr:txBody>
    </xdr:sp>
    <xdr:clientData/>
  </xdr:twoCellAnchor>
  <xdr:twoCellAnchor>
    <xdr:from>
      <xdr:col>22</xdr:col>
      <xdr:colOff>723899</xdr:colOff>
      <xdr:row>4</xdr:row>
      <xdr:rowOff>152400</xdr:rowOff>
    </xdr:from>
    <xdr:to>
      <xdr:col>27</xdr:col>
      <xdr:colOff>667384</xdr:colOff>
      <xdr:row>17</xdr:row>
      <xdr:rowOff>79374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2144CE-F44A-43E5-8B2F-573DC0875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161925</xdr:colOff>
      <xdr:row>51</xdr:row>
      <xdr:rowOff>180975</xdr:rowOff>
    </xdr:from>
    <xdr:to>
      <xdr:col>26</xdr:col>
      <xdr:colOff>324485</xdr:colOff>
      <xdr:row>67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C40018-4AE0-4CB1-A6A7-4E40ECD2B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3</xdr:row>
      <xdr:rowOff>171450</xdr:rowOff>
    </xdr:from>
    <xdr:to>
      <xdr:col>11</xdr:col>
      <xdr:colOff>971551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5429D-45B6-96F5-B1EA-489C5C789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40</xdr:row>
      <xdr:rowOff>127635</xdr:rowOff>
    </xdr:from>
    <xdr:to>
      <xdr:col>27</xdr:col>
      <xdr:colOff>449580</xdr:colOff>
      <xdr:row>69</xdr:row>
      <xdr:rowOff>41274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9D913-468F-8F63-E6E5-853DAEF40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520700</xdr:colOff>
      <xdr:row>48</xdr:row>
      <xdr:rowOff>38099</xdr:rowOff>
    </xdr:from>
    <xdr:to>
      <xdr:col>19</xdr:col>
      <xdr:colOff>325120</xdr:colOff>
      <xdr:row>64</xdr:row>
      <xdr:rowOff>183514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83D92-79E1-B1C1-849A-562E6248D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gallegos" refreshedDate="45724.750786689816" createdVersion="8" refreshedVersion="8" minRefreshableVersion="3" recordCount="44" xr:uid="{73B415E2-B7A6-4ED1-BCA3-0A93186A0566}">
  <cacheSource type="worksheet">
    <worksheetSource ref="A1:AJ45" sheet="gcd_KPI_adequacy"/>
  </cacheSource>
  <cacheFields count="36">
    <cacheField name="model_type" numFmtId="0">
      <sharedItems count="4">
        <s v="envelope"/>
        <s v="conservative"/>
        <s v="e-reserve"/>
        <s v="stochastic"/>
      </sharedItems>
    </cacheField>
    <cacheField name="VLGEN" numFmtId="0">
      <sharedItems containsSemiMixedTypes="0" containsString="0" containsNumber="1" minValue="9.9999999999999995E-7" maxValue="1000"/>
    </cacheField>
    <cacheField name="rho" numFmtId="0">
      <sharedItems containsSemiMixedTypes="0" containsString="0" containsNumber="1" minValue="0" maxValue="0.99" count="11">
        <n v="0"/>
        <n v="0.1"/>
        <n v="0.2"/>
        <n v="0.3"/>
        <n v="0.4"/>
        <n v="0.5"/>
        <n v="0.6"/>
        <n v="0.7"/>
        <n v="0.8"/>
        <n v="0.9"/>
        <n v="0.99"/>
      </sharedItems>
    </cacheField>
    <cacheField name="solution_id" numFmtId="0">
      <sharedItems/>
    </cacheField>
    <cacheField name="configuration" numFmtId="0">
      <sharedItems containsBlank="1"/>
    </cacheField>
    <cacheField name="day" numFmtId="0">
      <sharedItems containsString="0" containsBlank="1" containsNumber="1" containsInteger="1" minValue="7" maxValue="7"/>
    </cacheField>
    <cacheField name="OV_uc" numFmtId="0">
      <sharedItems containsString="0" containsBlank="1" containsNumber="1" minValue="800062.59740821098" maxValue="814114.01151942299"/>
    </cacheField>
    <cacheField name="E_fixed_cost" numFmtId="0">
      <sharedItems containsSemiMixedTypes="0" containsString="0" containsNumber="1" minValue="50938.139691999997" maxValue="57486.303755999797"/>
    </cacheField>
    <cacheField name="E_storage_discharge_MWh" numFmtId="0">
      <sharedItems containsSemiMixedTypes="0" containsString="0" containsNumber="1" minValue="4905.3241242857102" maxValue="6210.1210994667999"/>
    </cacheField>
    <cacheField name="E_reserve_cost" numFmtId="0">
      <sharedItems containsString="0" containsBlank="1" containsNumber="1" minValue="8.5372950844499994E-3" maxValue="1.0291565842974901E-2"/>
    </cacheField>
    <cacheField name="reserve_cost_uc" numFmtId="0">
      <sharedItems containsString="0" containsBlank="1" containsNumber="1" minValue="8.5372950844499994E-3" maxValue="1.0291565842974901E-2"/>
    </cacheField>
    <cacheField name="E_storage_charge_MWh" numFmtId="0">
      <sharedItems containsSemiMixedTypes="0" containsString="0" containsNumber="1" minValue="5707.7908465506698" maxValue="6631.6180625543702"/>
    </cacheField>
    <cacheField name="E_avg_marginal_energy_price_MU_MWh" numFmtId="0">
      <sharedItems containsSemiMixedTypes="0" containsString="0" containsNumber="1" minValue="-0.18750004308658699" maxValue="94.963439583338598"/>
    </cacheField>
    <cacheField name="input_RES_production_MWh" numFmtId="0">
      <sharedItems containsSemiMixedTypes="0" containsString="0" containsNumber="1" minValue="19374.063747999899" maxValue="19374.063747999899"/>
    </cacheField>
    <cacheField name="EENS_cost" numFmtId="0">
      <sharedItems containsSemiMixedTypes="0" containsString="0" containsNumber="1" minValue="0" maxValue="20217.440465076899"/>
    </cacheField>
    <cacheField name="EOV" numFmtId="0">
      <sharedItems containsSemiMixedTypes="0" containsString="0" containsNumber="1" minValue="795008.51956981199" maxValue="820628.88878700696"/>
    </cacheField>
    <cacheField name="E_thermal_production_MWh" numFmtId="0">
      <sharedItems containsSemiMixedTypes="0" containsString="0" containsNumber="1" minValue="31661.602888424499" maxValue="32103.963287345199"/>
    </cacheField>
    <cacheField name="avg_marginal_reserve_up_price_uc_MU_MWh" numFmtId="0">
      <sharedItems containsString="0" containsBlank="1" containsNumber="1" minValue="0" maxValue="4.5120214253901798"/>
    </cacheField>
    <cacheField name="E_production_cost" numFmtId="0">
      <sharedItems containsSemiMixedTypes="0" containsString="0" containsNumber="1" minValue="743792.98135381204" maxValue="756900.33957116294"/>
    </cacheField>
    <cacheField name="avg_marginal_energy_price_uc_MU_MWh" numFmtId="0">
      <sharedItems containsString="0" containsBlank="1" containsNumber="1" minValue="28.442769476861599" maxValue="30.477323016873999"/>
    </cacheField>
    <cacheField name="avg_marginal_reserve_down_price_uc_MU_MWh" numFmtId="0">
      <sharedItems containsString="0" containsBlank="1" containsNumber="1" minValue="0.45332316988388699" maxValue="4.4575345768274799"/>
    </cacheField>
    <cacheField name="ECUR" numFmtId="0">
      <sharedItems containsSemiMixedTypes="0" containsString="0" containsNumber="1" minValue="-3.17079695832944E-13" maxValue="2.8851920852446199E-14" count="3">
        <n v="2.8851920852446199E-14"/>
        <n v="-3.17079695832944E-13"/>
        <n v="0"/>
      </sharedItems>
    </cacheField>
    <cacheField name="E_redispatch_cost" numFmtId="0">
      <sharedItems containsString="0" containsBlank="1" containsNumber="1" minValue="-2.1993858623318299E-4" maxValue="4.3795808451250101E-5"/>
    </cacheField>
    <cacheField name="LOLE" numFmtId="0">
      <sharedItems containsSemiMixedTypes="0" containsString="0" containsNumber="1" minValue="0" maxValue="0.02"/>
    </cacheField>
    <cacheField name="ELGEN_cost" numFmtId="0">
      <sharedItems containsSemiMixedTypes="0" containsString="0" containsNumber="1" minValue="-8.6970430857036196E-13" maxValue="646.19769692231898"/>
    </cacheField>
    <cacheField name="E_start_cost" numFmtId="0">
      <sharedItems containsSemiMixedTypes="0" containsString="0" containsNumber="1" containsInteger="1" minValue="0" maxValue="0"/>
    </cacheField>
    <cacheField name="E_nonRES_nonThermal_production_MWh" numFmtId="0">
      <sharedItems containsSemiMixedTypes="0" containsString="0" containsNumber="1" minValue="1522.4399999999901" maxValue="1522.44"/>
    </cacheField>
    <cacheField name="CURE" numFmtId="0">
      <sharedItems containsSemiMixedTypes="0" containsString="0" containsNumber="1" containsInteger="1" minValue="0" maxValue="0"/>
    </cacheField>
    <cacheField name="ELGEN" numFmtId="0">
      <sharedItems containsSemiMixedTypes="0" containsString="0" containsNumber="1" minValue="-2.8990143619012E-14" maxValue="0.64619769692231899"/>
    </cacheField>
    <cacheField name="EENS" numFmtId="0">
      <sharedItems containsSemiMixedTypes="0" containsString="0" containsNumber="1" minValue="0" maxValue="2.0217440465076901"/>
    </cacheField>
    <cacheField name="EOPEX" numFmtId="0">
      <sharedItems containsSemiMixedTypes="0" containsString="0" containsNumber="1" minValue="795008.51956981199" maxValue="814114.00134716299"/>
    </cacheField>
    <cacheField name="input_load_MWh" numFmtId="0">
      <sharedItems containsSemiMixedTypes="0" containsString="0" containsNumber="1" minValue="51655.648319247397" maxValue="52354.743025065902"/>
    </cacheField>
    <cacheField name="OPEX_uc" numFmtId="0">
      <sharedItems containsString="0" containsBlank="1" containsNumber="1" minValue="800062.58745588898" maxValue="814114.00156710099"/>
    </cacheField>
    <cacheField name="mu" numFmtId="0">
      <sharedItems containsString="0" containsBlank="1" containsNumber="1" minValue="0.3" maxValue="1" count="10">
        <n v="0.3"/>
        <n v="1"/>
        <n v="0.32"/>
        <n v="0.37"/>
        <n v="0.38"/>
        <n v="0.49"/>
        <n v="0.55000000000000004"/>
        <n v="0.65"/>
        <n v="0.97"/>
        <m/>
      </sharedItems>
    </cacheField>
    <cacheField name="avg_marginal_energy_reserve_down_price_uc_MU_MWh" numFmtId="0">
      <sharedItems containsString="0" containsBlank="1" containsNumber="1" minValue="0.45332416988388702" maxValue="0.84957360592520204"/>
    </cacheField>
    <cacheField name="avg_marginal_energy_reserve_up_price_uc_MU_MWh" numFmtId="0">
      <sharedItems containsString="0" containsBlank="1" containsNumber="1" minValue="9.9999999999999805E-7" maxValue="9.9999999999999805E-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n v="30"/>
    <x v="0"/>
    <s v="solutions_v57.0.0.4s"/>
    <s v="base_ramp_storage_envelopes_up_0_3_dn_0_3"/>
    <n v="7"/>
    <n v="800627.13544999505"/>
    <n v="51215.538215999797"/>
    <n v="5433.0045870534695"/>
    <n v="9.9048019109000095E-3"/>
    <n v="9.9048019109000095E-3"/>
    <n v="6325.1541802527199"/>
    <n v="-0.18749999600544501"/>
    <n v="19374.063747999899"/>
    <n v="0"/>
    <n v="800627.13547786896"/>
    <n v="31857.027429921702"/>
    <n v="0"/>
    <n v="749411.58735706599"/>
    <n v="28.885101261934398"/>
    <n v="0.61362047126878005"/>
    <x v="0"/>
    <n v="2.7874346124008199E-5"/>
    <n v="0"/>
    <n v="0"/>
    <n v="0"/>
    <n v="1522.4399999999901"/>
    <n v="0"/>
    <n v="0"/>
    <n v="0"/>
    <n v="800627.12557306699"/>
    <n v="51861.381584722403"/>
    <n v="800627.12554519298"/>
    <x v="0"/>
    <m/>
    <m/>
  </r>
  <r>
    <x v="1"/>
    <n v="30"/>
    <x v="0"/>
    <s v="solutions_v57.0.0.4s"/>
    <s v="base_ramp_storage_envelopes_up_1_dn_1"/>
    <n v="7"/>
    <n v="808058.21510188805"/>
    <n v="57486.303755999797"/>
    <n v="5162.45244524585"/>
    <n v="9.9048019109000095E-3"/>
    <n v="9.9048019109000095E-3"/>
    <n v="6002.6454961628197"/>
    <n v="-3.74999833749999E-2"/>
    <n v="19374.063747999899"/>
    <n v="0"/>
    <n v="808058.21512385004"/>
    <n v="31805.0708876395"/>
    <n v="1.1209352831295201"/>
    <n v="750571.90146304795"/>
    <n v="29.265796351075"/>
    <n v="4.1950846687430898"/>
    <x v="0"/>
    <n v="2.19616270624101E-5"/>
    <n v="0"/>
    <n v="0"/>
    <n v="0"/>
    <n v="1522.4399999999901"/>
    <n v="0"/>
    <n v="0"/>
    <n v="0"/>
    <n v="808058.20521904796"/>
    <n v="51861.381584722403"/>
    <n v="808058.20519708702"/>
    <x v="1"/>
    <m/>
    <m/>
  </r>
  <r>
    <x v="0"/>
    <n v="30"/>
    <x v="1"/>
    <s v="solutions_v57.0.1.4s"/>
    <s v="base_ramp_storage_envelopes_up_0_3_dn_0_3"/>
    <n v="7"/>
    <n v="800160.25849176897"/>
    <n v="51215.538215999797"/>
    <n v="5566.8430765958401"/>
    <n v="9.6977837672500202E-3"/>
    <n v="9.6977837672499699E-3"/>
    <n v="6428.2440876139399"/>
    <n v="12.3124999985481"/>
    <n v="19374.063747999899"/>
    <n v="0"/>
    <n v="800160.25852527295"/>
    <n v="31876.854996701601"/>
    <n v="0"/>
    <n v="748944.71061148902"/>
    <n v="28.7445260240751"/>
    <n v="0.53142576096118899"/>
    <x v="0"/>
    <n v="3.3504479797556899E-5"/>
    <n v="0"/>
    <n v="0"/>
    <n v="0"/>
    <n v="1522.4399999999901"/>
    <n v="0"/>
    <n v="0"/>
    <n v="0"/>
    <n v="800160.24882748898"/>
    <n v="51911.957733683397"/>
    <n v="800160.24879398395"/>
    <x v="0"/>
    <m/>
    <m/>
  </r>
  <r>
    <x v="1"/>
    <n v="30"/>
    <x v="1"/>
    <s v="solutions_v57.0.1.4s"/>
    <s v="base_ramp_storage_envelopes_up_1_dn_1"/>
    <n v="7"/>
    <n v="807863.59565707401"/>
    <n v="57213.661775999899"/>
    <n v="5168.0873729267296"/>
    <n v="9.6977837672500202E-3"/>
    <n v="9.6977837672500202E-3"/>
    <n v="5967.1442358201002"/>
    <n v="1.7916666666666599E-8"/>
    <n v="19374.063747999899"/>
    <n v="0"/>
    <n v="807863.595665487"/>
    <n v="31814.5108485768"/>
    <n v="1.29754462612264"/>
    <n v="750649.92419170402"/>
    <n v="29.372077882982001"/>
    <n v="4.4382164266978101"/>
    <x v="0"/>
    <n v="8.4140058606862999E-6"/>
    <n v="0"/>
    <n v="0"/>
    <n v="0"/>
    <n v="1522.4399999999901"/>
    <n v="0"/>
    <n v="0"/>
    <n v="0"/>
    <n v="807863.58596770396"/>
    <n v="51911.957733683397"/>
    <n v="807863.58595929004"/>
    <x v="1"/>
    <m/>
    <m/>
  </r>
  <r>
    <x v="0"/>
    <n v="30"/>
    <x v="2"/>
    <s v="solutions_v57.0.2.4s"/>
    <s v="base_ramp_storage_envelopes_up_0_32_dn_0_32"/>
    <n v="7"/>
    <n v="800452.99422262004"/>
    <n v="51215.538215999797"/>
    <n v="5396.3722039334098"/>
    <n v="1.0291565842974901E-2"/>
    <n v="1.0291565842974901E-2"/>
    <n v="6242.0618652290696"/>
    <n v="92.719044581132096"/>
    <n v="19374.063747999899"/>
    <n v="6374.5723839761304"/>
    <n v="806827.56661677605"/>
    <n v="31862.389346486401"/>
    <n v="0"/>
    <n v="749237.44572523504"/>
    <n v="28.7445260240751"/>
    <n v="0.54119945691454696"/>
    <x v="0"/>
    <n v="1.01804023142904E-5"/>
    <n v="0.01"/>
    <n v="0"/>
    <n v="0"/>
    <n v="1522.4399999999901"/>
    <n v="0"/>
    <n v="0"/>
    <n v="0.63745723839761304"/>
    <n v="800452.98394123395"/>
    <n v="51913.840890429201"/>
    <n v="800452.98393105401"/>
    <x v="2"/>
    <m/>
    <m/>
  </r>
  <r>
    <x v="1"/>
    <n v="30"/>
    <x v="2"/>
    <s v="solutions_v57.0.2.4s"/>
    <s v="base_ramp_storage_envelopes_up_1_dn_1"/>
    <n v="7"/>
    <n v="811588.96768478397"/>
    <n v="57486.303755999797"/>
    <n v="4905.3241242857102"/>
    <n v="1.0291565842974901E-2"/>
    <n v="1.0291565842974901E-2"/>
    <n v="5718.1959454235302"/>
    <n v="-3.7499987875000002E-2"/>
    <n v="19374.063747999899"/>
    <n v="0"/>
    <n v="811588.96768260002"/>
    <n v="31830.208963567002"/>
    <n v="4.5120214253901798"/>
    <n v="754102.65363503399"/>
    <n v="29.1806056245373"/>
    <n v="4.2002194716085999"/>
    <x v="0"/>
    <n v="-2.1837465465068802E-6"/>
    <n v="0"/>
    <n v="0"/>
    <n v="0"/>
    <n v="1522.4399999999901"/>
    <n v="0"/>
    <n v="0"/>
    <n v="0"/>
    <n v="811588.95739103295"/>
    <n v="51913.840890429201"/>
    <n v="811588.95739321795"/>
    <x v="1"/>
    <m/>
    <m/>
  </r>
  <r>
    <x v="0"/>
    <n v="30"/>
    <x v="3"/>
    <s v="solutions_v57.0.3.4s"/>
    <s v="base_ramp_storage_envelopes_up_0_32_dn_0_32"/>
    <n v="7"/>
    <n v="800411.44830748404"/>
    <n v="51215.538215999797"/>
    <n v="5411.7532000602496"/>
    <n v="9.9448435359500102E-3"/>
    <n v="9.9448435359500102E-3"/>
    <n v="6286.5579776984596"/>
    <n v="93.928044084227196"/>
    <n v="19374.063747999899"/>
    <n v="20217.440465076899"/>
    <n v="820628.88878700696"/>
    <n v="31863.943819861201"/>
    <n v="0"/>
    <n v="749195.900161086"/>
    <n v="28.7445260240751"/>
    <n v="0.58862157727854303"/>
    <x v="0"/>
    <n v="1.4445572160184299E-5"/>
    <n v="0.02"/>
    <n v="0"/>
    <n v="0"/>
    <n v="1522.4399999999901"/>
    <n v="0"/>
    <n v="0"/>
    <n v="2.0217440465076901"/>
    <n v="800411.43837708596"/>
    <n v="51887.664534269403"/>
    <n v="800411.43836264196"/>
    <x v="2"/>
    <m/>
    <m/>
  </r>
  <r>
    <x v="1"/>
    <n v="30"/>
    <x v="3"/>
    <s v="solutions_v57.0.3.4s"/>
    <s v="base_ramp_storage_envelopes_up_1_dn_1"/>
    <n v="7"/>
    <n v="808877.05385984597"/>
    <n v="57486.303755999797"/>
    <n v="4930.4860818574498"/>
    <n v="9.9448435359500206E-3"/>
    <n v="9.9448435359500102E-3"/>
    <n v="5707.7908465506698"/>
    <n v="-3.7499985958333301E-2"/>
    <n v="19374.063747999899"/>
    <n v="0"/>
    <n v="808877.053867999"/>
    <n v="31768.465550962799"/>
    <n v="1.16367900803435"/>
    <n v="751390.74016715505"/>
    <n v="29.092536640770899"/>
    <n v="4.4575345768274799"/>
    <x v="0"/>
    <n v="8.1525300629436899E-6"/>
    <n v="0"/>
    <n v="0"/>
    <n v="0"/>
    <n v="1522.4399999999901"/>
    <n v="0"/>
    <n v="0"/>
    <n v="0"/>
    <n v="808877.04392315401"/>
    <n v="51887.664534269403"/>
    <n v="808877.04391500296"/>
    <x v="1"/>
    <m/>
    <m/>
  </r>
  <r>
    <x v="0"/>
    <n v="30"/>
    <x v="4"/>
    <s v="solutions_v57.0.4.4s"/>
    <s v="base_ramp_storage_envelopes_up_0_37_dn_0_37"/>
    <n v="7"/>
    <n v="800162.67143818096"/>
    <n v="51215.538215999797"/>
    <n v="5379.5991091179503"/>
    <n v="9.8976117661999808E-3"/>
    <n v="9.8976117661999808E-3"/>
    <n v="6278.53447149982"/>
    <n v="-0.14999999396501601"/>
    <n v="19374.063747999899"/>
    <n v="0"/>
    <n v="800162.67143617896"/>
    <n v="31877.082289948401"/>
    <n v="0"/>
    <n v="748947.12332256697"/>
    <n v="28.7445260240751"/>
    <n v="0.54119945691454796"/>
    <x v="0"/>
    <n v="-2.0018161740154E-6"/>
    <n v="0"/>
    <n v="0"/>
    <n v="0"/>
    <n v="1522.4399999999901"/>
    <n v="0"/>
    <n v="0"/>
    <n v="0"/>
    <n v="800162.66153856704"/>
    <n v="51874.650675566401"/>
    <n v="800162.66154056799"/>
    <x v="3"/>
    <m/>
    <m/>
  </r>
  <r>
    <x v="1"/>
    <n v="30"/>
    <x v="4"/>
    <s v="solutions_v57.0.4.4s"/>
    <s v="base_ramp_storage_envelopes_up_1_dn_1"/>
    <n v="7"/>
    <n v="807195.26805134094"/>
    <n v="57213.661775999899"/>
    <n v="5124.4668063969502"/>
    <n v="9.8976117661999808E-3"/>
    <n v="9.8976117661999808E-3"/>
    <n v="5973.1509961832498"/>
    <n v="-3.7499980541666603E-2"/>
    <n v="19374.063747999899"/>
    <n v="0"/>
    <n v="807195.26804419304"/>
    <n v="31826.831117352802"/>
    <n v="1.12712537584932"/>
    <n v="749981.596370582"/>
    <n v="28.5792369741669"/>
    <n v="2.1330015423647501"/>
    <x v="0"/>
    <n v="-7.1469193790107897E-6"/>
    <n v="0"/>
    <n v="0"/>
    <n v="0"/>
    <n v="1522.4399999999901"/>
    <n v="0"/>
    <n v="0"/>
    <n v="0"/>
    <n v="807195.25814658101"/>
    <n v="51874.650675566401"/>
    <n v="807195.25815372705"/>
    <x v="1"/>
    <m/>
    <m/>
  </r>
  <r>
    <x v="0"/>
    <n v="30"/>
    <x v="5"/>
    <s v="solutions_v57.0.5.4s"/>
    <s v="base_ramp_storage_envelopes_up_0_38_dn_0_38"/>
    <n v="7"/>
    <n v="800062.59740821098"/>
    <n v="51215.538215999797"/>
    <n v="5569.8780217310104"/>
    <n v="9.95232179222502E-3"/>
    <n v="9.95232179222502E-3"/>
    <n v="6277.2416078900296"/>
    <n v="-0.14999998683333299"/>
    <n v="19374.063747999899"/>
    <n v="0"/>
    <n v="800062.59741890396"/>
    <n v="31884.4850824192"/>
    <n v="0"/>
    <n v="748847.049250582"/>
    <n v="28.784980190741798"/>
    <n v="0.45332316988388699"/>
    <x v="0"/>
    <n v="1.0692712385207401E-5"/>
    <n v="0"/>
    <n v="0"/>
    <n v="0"/>
    <n v="1522.4399999999901"/>
    <n v="0"/>
    <n v="0"/>
    <n v="0"/>
    <n v="800062.58746658196"/>
    <n v="52073.625244260198"/>
    <n v="800062.58745588898"/>
    <x v="4"/>
    <m/>
    <m/>
  </r>
  <r>
    <x v="1"/>
    <n v="30"/>
    <x v="5"/>
    <s v="solutions_v57.0.5.4s"/>
    <s v="base_ramp_storage_envelopes_up_1_dn_1"/>
    <n v="7"/>
    <n v="814114.01151942299"/>
    <n v="57213.661775999899"/>
    <n v="5199.1736228310001"/>
    <n v="9.95232179222502E-3"/>
    <n v="9.95232179222502E-3"/>
    <n v="6126.0154139160004"/>
    <n v="-0.14999997916666599"/>
    <n v="19374.063747999899"/>
    <n v="0"/>
    <n v="814114.01129948499"/>
    <n v="32103.963287345199"/>
    <n v="4.3331173069772797"/>
    <n v="756900.33957116294"/>
    <n v="29.0099884346705"/>
    <n v="2.63722931878916"/>
    <x v="0"/>
    <n v="-2.1993858623318299E-4"/>
    <n v="0"/>
    <n v="0"/>
    <n v="0"/>
    <n v="1522.4399999999901"/>
    <n v="0"/>
    <n v="0"/>
    <n v="0"/>
    <n v="814114.00134716299"/>
    <n v="52073.625244260198"/>
    <n v="814114.00156710099"/>
    <x v="1"/>
    <m/>
    <m/>
  </r>
  <r>
    <x v="0"/>
    <n v="30"/>
    <x v="6"/>
    <s v="solutions_v57.0.6.4s"/>
    <s v="base_ramp_storage_envelopes_up_0_37_dn_0_37"/>
    <n v="7"/>
    <n v="800598.89945307805"/>
    <n v="51215.538215999797"/>
    <n v="5439.21578782504"/>
    <n v="9.9639769085749803E-3"/>
    <n v="9.9639769085749993E-3"/>
    <n v="6278.8006704453401"/>
    <n v="-0.15000002576027099"/>
    <n v="19374.063747999899"/>
    <n v="0"/>
    <n v="800598.89947486203"/>
    <n v="31861.2767460635"/>
    <n v="0"/>
    <n v="749383.35129488504"/>
    <n v="28.7445260240751"/>
    <n v="0.60522408692567398"/>
    <x v="0"/>
    <n v="2.17849877662956E-5"/>
    <n v="0"/>
    <n v="0"/>
    <n v="0"/>
    <n v="1522.4399999999901"/>
    <n v="0"/>
    <n v="0"/>
    <n v="0"/>
    <n v="800598.88951088605"/>
    <n v="51918.195611443203"/>
    <n v="800598.88948909903"/>
    <x v="3"/>
    <m/>
    <m/>
  </r>
  <r>
    <x v="1"/>
    <n v="30"/>
    <x v="6"/>
    <s v="solutions_v57.0.6.4s"/>
    <s v="base_ramp_storage_envelopes_up_1_dn_1"/>
    <n v="7"/>
    <n v="810987.91867751395"/>
    <n v="57213.661775999899"/>
    <n v="5117.2818170078699"/>
    <n v="9.9639769085749803E-3"/>
    <n v="9.9639769085749803E-3"/>
    <n v="6039.05893169298"/>
    <n v="-0.149999981333333"/>
    <n v="19374.063747999899"/>
    <n v="0"/>
    <n v="810987.91858748998"/>
    <n v="31943.468978128301"/>
    <n v="4.3375888529750597"/>
    <n v="753774.24684751302"/>
    <n v="28.970747264625899"/>
    <n v="2.6901139663743798"/>
    <x v="0"/>
    <n v="-9.0023735538124997E-5"/>
    <n v="0"/>
    <n v="0"/>
    <n v="0"/>
    <n v="1522.4399999999901"/>
    <n v="0"/>
    <n v="0"/>
    <n v="0"/>
    <n v="810987.908623514"/>
    <n v="51918.195611443203"/>
    <n v="810987.90871353599"/>
    <x v="1"/>
    <m/>
    <m/>
  </r>
  <r>
    <x v="0"/>
    <n v="30"/>
    <x v="7"/>
    <s v="solutions_v57.0.7.4s"/>
    <s v="base_ramp_storage_envelopes_up_0_49_dn_0_49"/>
    <n v="7"/>
    <n v="802775.12079158903"/>
    <n v="52429.688109999799"/>
    <n v="5567.3516452311196"/>
    <n v="9.8187535600000302E-3"/>
    <n v="9.8187535599999695E-3"/>
    <n v="6303.3096874985104"/>
    <n v="-0.15000000529573401"/>
    <n v="19374.063747999899"/>
    <n v="0"/>
    <n v="802775.12080624094"/>
    <n v="31869.171220148401"/>
    <n v="0"/>
    <n v="750345.42287748703"/>
    <n v="30.355764878040301"/>
    <n v="2.4147398507204798"/>
    <x v="0"/>
    <n v="1.46526703611016E-5"/>
    <n v="0"/>
    <n v="0"/>
    <n v="0"/>
    <n v="1522.4399999999901"/>
    <n v="0"/>
    <n v="0"/>
    <n v="0"/>
    <n v="802775.11098748702"/>
    <n v="52029.716925881003"/>
    <n v="802775.11097283603"/>
    <x v="5"/>
    <m/>
    <m/>
  </r>
  <r>
    <x v="1"/>
    <n v="30"/>
    <x v="7"/>
    <s v="solutions_v57.0.7.4s"/>
    <s v="base_ramp_storage_envelopes_up_1_dn_1"/>
    <n v="7"/>
    <n v="807595.44557855104"/>
    <n v="57213.661775999899"/>
    <n v="5164.6961509211596"/>
    <n v="9.8187535599999695E-3"/>
    <n v="9.8187535599999695E-3"/>
    <n v="5836.0789302847097"/>
    <n v="-0.112499979958333"/>
    <n v="19374.063747999899"/>
    <n v="0"/>
    <n v="807595.44558406202"/>
    <n v="31804.595957244601"/>
    <n v="1.12712537584932"/>
    <n v="750381.77398930897"/>
    <n v="28.5792369741669"/>
    <n v="2.1899390108870298"/>
    <x v="0"/>
    <n v="5.5110035464167599E-6"/>
    <n v="0"/>
    <n v="0"/>
    <n v="0"/>
    <n v="1522.4399999999901"/>
    <n v="0"/>
    <n v="0"/>
    <n v="0"/>
    <n v="807595.43576530798"/>
    <n v="52029.716925881003"/>
    <n v="807595.43575979699"/>
    <x v="1"/>
    <m/>
    <m/>
  </r>
  <r>
    <x v="0"/>
    <n v="30"/>
    <x v="8"/>
    <s v="solutions_v57.0.8.4s"/>
    <s v="base_ramp_storage_envelopes_up_0_55_dn_0_55"/>
    <n v="7"/>
    <n v="804182.06075383699"/>
    <n v="52685.298613999897"/>
    <n v="5511.1866642505101"/>
    <n v="9.9146086081499801E-3"/>
    <n v="9.9146086081499801E-3"/>
    <n v="6631.6180625543702"/>
    <n v="-0.15000004791570601"/>
    <n v="19374.063747999899"/>
    <n v="0"/>
    <n v="804182.06078549498"/>
    <n v="31879.575969551301"/>
    <n v="0"/>
    <n v="751496.75225688599"/>
    <n v="30.477323016873999"/>
    <n v="2.7889850897205402"/>
    <x v="0"/>
    <n v="3.16561583895236E-5"/>
    <n v="0"/>
    <n v="0"/>
    <n v="0"/>
    <n v="1522.4399999999901"/>
    <n v="0"/>
    <n v="0"/>
    <n v="0"/>
    <n v="804182.05087088596"/>
    <n v="51655.648319247397"/>
    <n v="804182.05083922995"/>
    <x v="6"/>
    <m/>
    <m/>
  </r>
  <r>
    <x v="1"/>
    <n v="30"/>
    <x v="8"/>
    <s v="solutions_v57.0.8.4s"/>
    <s v="base_ramp_storage_envelopes_up_1_dn_1"/>
    <n v="7"/>
    <n v="807664.98463981797"/>
    <n v="57486.303755999797"/>
    <n v="5075.3201079363798"/>
    <n v="9.9146086081499801E-3"/>
    <n v="9.9146086081499801E-3"/>
    <n v="6134.87351297228"/>
    <n v="-0.112499983208333"/>
    <n v="19374.063747999899"/>
    <n v="0"/>
    <n v="807664.98465210304"/>
    <n v="31818.6979762833"/>
    <n v="0.96514260473971003"/>
    <n v="750178.67098149494"/>
    <n v="28.442769476861599"/>
    <n v="2.2610708589636999"/>
    <x v="0"/>
    <n v="1.2284561526030301E-5"/>
    <n v="0"/>
    <n v="0"/>
    <n v="0"/>
    <n v="1522.4399999999901"/>
    <n v="0"/>
    <n v="0"/>
    <n v="0"/>
    <n v="807664.97473749495"/>
    <n v="51655.648319247397"/>
    <n v="807664.97472520999"/>
    <x v="1"/>
    <m/>
    <m/>
  </r>
  <r>
    <x v="0"/>
    <n v="30"/>
    <x v="9"/>
    <s v="solutions_v57.0.9.4s"/>
    <s v="base_ramp_storage_envelopes_up_0_65_dn_0_65"/>
    <n v="7"/>
    <n v="805560.35018342501"/>
    <n v="56395.735836"/>
    <n v="5600.5353856484799"/>
    <n v="1.01282941631249E-2"/>
    <n v="1.0128294163125001E-2"/>
    <n v="6471.6446877140497"/>
    <n v="-0.18750004308658699"/>
    <n v="19374.063747999899"/>
    <n v="0"/>
    <n v="805560.35022721905"/>
    <n v="31872.408860789201"/>
    <n v="0"/>
    <n v="749164.60426292603"/>
    <n v="28.823049591597101"/>
    <n v="0.70274973665514195"/>
    <x v="0"/>
    <n v="4.3795808451250101E-5"/>
    <n v="0"/>
    <n v="0"/>
    <n v="0"/>
    <n v="1522.4399999999901"/>
    <n v="0"/>
    <n v="0"/>
    <n v="0"/>
    <n v="805560.34009892598"/>
    <n v="51897.803306723697"/>
    <n v="805560.34005512903"/>
    <x v="7"/>
    <m/>
    <m/>
  </r>
  <r>
    <x v="1"/>
    <n v="30"/>
    <x v="9"/>
    <s v="solutions_v57.0.9.4s"/>
    <s v="base_ramp_storage_envelopes_up_1_dn_1"/>
    <n v="7"/>
    <n v="813620.19015575701"/>
    <n v="57213.661775999899"/>
    <n v="5329.3553687610201"/>
    <n v="1.01282941631249E-2"/>
    <n v="1.01282941631249E-2"/>
    <n v="6422.7963144524902"/>
    <n v="-0.187499982208333"/>
    <n v="19374.063747999899"/>
    <n v="0"/>
    <n v="813620.18997026596"/>
    <n v="32094.7405044152"/>
    <n v="3.8749640765165401"/>
    <n v="756406.51806597202"/>
    <n v="29.202831761940999"/>
    <n v="0.94895282034968997"/>
    <x v="0"/>
    <n v="-1.85489653376862E-4"/>
    <n v="0"/>
    <n v="0"/>
    <n v="0"/>
    <n v="1522.4399999999901"/>
    <n v="0"/>
    <n v="0"/>
    <n v="0"/>
    <n v="813620.17984197196"/>
    <n v="51897.803306723697"/>
    <n v="813620.18002746103"/>
    <x v="1"/>
    <m/>
    <m/>
  </r>
  <r>
    <x v="0"/>
    <n v="30"/>
    <x v="10"/>
    <s v="solutions_v57.0.99.4s"/>
    <s v="base_ramp_storage_envelopes_up_0_97_dn_0_97"/>
    <n v="7"/>
    <n v="805351.04406179895"/>
    <n v="56668.377816"/>
    <n v="5974.2964631805798"/>
    <n v="8.5372950844499994E-3"/>
    <n v="8.5372950844499994E-3"/>
    <n v="6456.3168051327302"/>
    <n v="94.963439583338598"/>
    <n v="19374.063747999899"/>
    <n v="6240.7091142769405"/>
    <n v="811591.75319991005"/>
    <n v="31939.635548106799"/>
    <n v="0"/>
    <n v="748682.65773233795"/>
    <n v="28.904311062435099"/>
    <n v="0.54215384814402501"/>
    <x v="0"/>
    <n v="2.38335691392421E-5"/>
    <n v="0.01"/>
    <n v="0"/>
    <n v="0"/>
    <n v="1522.4399999999901"/>
    <n v="0"/>
    <n v="0"/>
    <n v="0.624070911427694"/>
    <n v="805351.03554833797"/>
    <n v="52354.743025065902"/>
    <n v="805351.03552450298"/>
    <x v="8"/>
    <m/>
    <m/>
  </r>
  <r>
    <x v="1"/>
    <n v="30"/>
    <x v="10"/>
    <s v="solutions_v57.0.99.4s"/>
    <s v="base_ramp_storage_envelopes_up_1_dn_1"/>
    <n v="7"/>
    <n v="805431.853195642"/>
    <n v="56663.6212719998"/>
    <n v="5934.8157107327797"/>
    <n v="8.5372950844499994E-3"/>
    <n v="8.5372950844499994E-3"/>
    <n v="6416.2119817735002"/>
    <n v="-0.14999999769344199"/>
    <n v="19374.063747999899"/>
    <n v="0"/>
    <n v="805431.85321151605"/>
    <n v="31939.6355481067"/>
    <n v="0"/>
    <n v="748768.22340222099"/>
    <n v="28.9174606556684"/>
    <n v="0.548919872975284"/>
    <x v="0"/>
    <n v="1.5875028911977999E-5"/>
    <n v="0"/>
    <n v="0"/>
    <n v="0"/>
    <n v="1522.4399999999901"/>
    <n v="0"/>
    <n v="0"/>
    <n v="0"/>
    <n v="805431.84467422101"/>
    <n v="52354.743025065902"/>
    <n v="805431.84465834498"/>
    <x v="1"/>
    <m/>
    <m/>
  </r>
  <r>
    <x v="2"/>
    <n v="9.9999999999999995E-7"/>
    <x v="0"/>
    <s v="solutions_v58.0.0.4s"/>
    <s v="base_ramp_storage_envelopes_up_1_dn_1"/>
    <n v="7"/>
    <n v="800627.09231313504"/>
    <n v="51215.538215999797"/>
    <n v="5424.9019198053202"/>
    <n v="9.9048019109000095E-3"/>
    <n v="9.9048019109000095E-3"/>
    <n v="6317.0501393942504"/>
    <n v="-0.187499985958333"/>
    <n v="19374.063747999899"/>
    <n v="0"/>
    <n v="800627.09233938903"/>
    <n v="31857.026056311501"/>
    <m/>
    <n v="749411.54421858699"/>
    <n v="28.8833484243765"/>
    <m/>
    <x v="1"/>
    <n v="2.6253380347043199E-5"/>
    <n v="0"/>
    <n v="0"/>
    <n v="0"/>
    <n v="1522.4399999999901"/>
    <n v="0"/>
    <n v="0"/>
    <n v="0"/>
    <n v="800627.08243458695"/>
    <n v="51861.381584722403"/>
    <n v="800627.08240833401"/>
    <x v="1"/>
    <n v="0.61222458761338305"/>
    <n v="9.9999999999999805E-7"/>
  </r>
  <r>
    <x v="2"/>
    <n v="9.9999999999999995E-7"/>
    <x v="1"/>
    <s v="solutions_v58.0.1.4s"/>
    <s v="base_ramp_storage_envelopes_up_1_dn_1"/>
    <n v="7"/>
    <n v="800079.361905128"/>
    <n v="50938.139691999997"/>
    <n v="5478.6098315057998"/>
    <n v="9.6977837672499699E-3"/>
    <n v="9.6977837672500202E-3"/>
    <n v="6346.2680689277504"/>
    <n v="-0.18749998270833301"/>
    <n v="19374.063747999899"/>
    <n v="0"/>
    <n v="800079.36192223802"/>
    <n v="31883.1122231054"/>
    <m/>
    <n v="749141.21253245499"/>
    <n v="29.336589259773"/>
    <m/>
    <x v="1"/>
    <n v="1.7108697211369801E-5"/>
    <n v="0"/>
    <n v="0"/>
    <n v="0"/>
    <n v="1522.4399999999901"/>
    <n v="0"/>
    <n v="0"/>
    <n v="0"/>
    <n v="800079.35222445498"/>
    <n v="51911.957733683397"/>
    <n v="800079.35220734705"/>
    <x v="1"/>
    <n v="0.80710716375206004"/>
    <n v="9.9999999999999805E-7"/>
  </r>
  <r>
    <x v="2"/>
    <n v="9.9999999999999995E-7"/>
    <x v="2"/>
    <s v="solutions_v58.0.2.4s"/>
    <s v="base_ramp_storage_envelopes_up_1_dn_1"/>
    <n v="7"/>
    <n v="800452.99422262004"/>
    <n v="51215.538215999797"/>
    <n v="5398.31300341112"/>
    <n v="1.0291565842974901E-2"/>
    <n v="1.0291565842974901E-2"/>
    <n v="6243.3652074683896"/>
    <n v="-0.149999990130538"/>
    <n v="19374.063747999899"/>
    <n v="0"/>
    <n v="800452.99423312396"/>
    <n v="31862.389346486401"/>
    <m/>
    <n v="749237.44572555902"/>
    <n v="28.7445260240751"/>
    <m/>
    <x v="1"/>
    <n v="1.05045887175947E-5"/>
    <n v="0"/>
    <n v="-8.6970430857036196E-13"/>
    <n v="0"/>
    <n v="1522.4399999999901"/>
    <n v="0"/>
    <n v="-2.8990143619012E-14"/>
    <n v="0"/>
    <n v="800452.98394155898"/>
    <n v="51913.840890429201"/>
    <n v="800452.98393105401"/>
    <x v="1"/>
    <n v="0.54120045691454699"/>
    <n v="9.9999999999999805E-7"/>
  </r>
  <r>
    <x v="2"/>
    <n v="9.9999999999999995E-7"/>
    <x v="3"/>
    <s v="solutions_v58.0.3.4s"/>
    <s v="base_ramp_storage_envelopes_up_1_dn_1"/>
    <n v="7"/>
    <n v="800411.44830748404"/>
    <n v="51215.538215999797"/>
    <n v="5387.17402777998"/>
    <n v="9.9448435359500102E-3"/>
    <n v="9.9448435359500206E-3"/>
    <n v="6259.9570613716896"/>
    <n v="-0.149999984916666"/>
    <n v="19374.063747999899"/>
    <n v="0"/>
    <n v="800411.44831681205"/>
    <n v="31863.943819861201"/>
    <m/>
    <n v="749195.90015596803"/>
    <n v="28.7445260240751"/>
    <m/>
    <x v="1"/>
    <n v="9.3274796381592702E-6"/>
    <n v="0"/>
    <n v="0"/>
    <n v="0"/>
    <n v="1522.4399999999901"/>
    <n v="0"/>
    <n v="0"/>
    <n v="0"/>
    <n v="800411.43837196904"/>
    <n v="51887.664534269403"/>
    <n v="800411.43836264196"/>
    <x v="1"/>
    <n v="0.58862257727854195"/>
    <n v="9.9999999999999805E-7"/>
  </r>
  <r>
    <x v="2"/>
    <n v="9.9999999999999995E-7"/>
    <x v="4"/>
    <s v="solutions_v58.0.4.4s"/>
    <s v="base_ramp_storage_envelopes_up_1_dn_1"/>
    <n v="7"/>
    <n v="800162.67143818096"/>
    <n v="51215.538215999797"/>
    <n v="5389.9690932353196"/>
    <n v="9.8976117661999808E-3"/>
    <n v="9.8976117661999808E-3"/>
    <n v="6288.9044556171903"/>
    <n v="-0.149999990095495"/>
    <n v="19374.063747999899"/>
    <n v="0"/>
    <n v="800162.67143825302"/>
    <n v="31877.082289948401"/>
    <m/>
    <n v="748947.12332464103"/>
    <n v="28.7445260240751"/>
    <m/>
    <x v="1"/>
    <n v="7.2435941547155304E-8"/>
    <n v="0"/>
    <n v="0"/>
    <n v="0"/>
    <n v="1522.4399999999901"/>
    <n v="0"/>
    <n v="0"/>
    <n v="0"/>
    <n v="800162.66154064098"/>
    <n v="51874.650675566401"/>
    <n v="800162.66154056799"/>
    <x v="1"/>
    <n v="0.54120045691454699"/>
    <n v="9.9999999999999805E-7"/>
  </r>
  <r>
    <x v="2"/>
    <n v="9.9999999999999995E-7"/>
    <x v="5"/>
    <s v="solutions_v58.0.5.4s"/>
    <s v="base_ramp_storage_envelopes_up_1_dn_1"/>
    <n v="7"/>
    <n v="800062.59740821098"/>
    <n v="51215.538215999797"/>
    <n v="5526.1091845398296"/>
    <n v="9.95232179222502E-3"/>
    <n v="9.95232179222502E-3"/>
    <n v="6233.4727706988497"/>
    <n v="12.3500000175416"/>
    <n v="19374.063747999899"/>
    <n v="0"/>
    <n v="800062.59741014999"/>
    <n v="31884.4850824192"/>
    <m/>
    <n v="748847.04924182803"/>
    <n v="28.784980190741798"/>
    <m/>
    <x v="1"/>
    <n v="1.9385886844247502E-6"/>
    <n v="0"/>
    <n v="0"/>
    <n v="0"/>
    <n v="1522.4399999999901"/>
    <n v="0"/>
    <n v="0"/>
    <n v="0"/>
    <n v="800062.58745782904"/>
    <n v="52073.625244260198"/>
    <n v="800062.58745588898"/>
    <x v="1"/>
    <n v="0.45332416988388702"/>
    <n v="9.9999999999999805E-7"/>
  </r>
  <r>
    <x v="2"/>
    <n v="9.9999999999999995E-7"/>
    <x v="6"/>
    <s v="solutions_v58.0.6.4s"/>
    <s v="base_ramp_storage_envelopes_up_1_dn_1"/>
    <n v="7"/>
    <n v="802691.46862244594"/>
    <n v="52429.688109999799"/>
    <n v="5476.2186323002798"/>
    <n v="9.9639769085749803E-3"/>
    <n v="9.9639769085749803E-3"/>
    <n v="6330.4216953660898"/>
    <n v="-0.1500000031906"/>
    <n v="19374.063747999899"/>
    <n v="0"/>
    <n v="802691.46862706495"/>
    <n v="31875.894926509001"/>
    <m/>
    <n v="750261.77055308805"/>
    <n v="30.355764878040301"/>
    <m/>
    <x v="1"/>
    <n v="4.6182458754628897E-6"/>
    <n v="0"/>
    <n v="0"/>
    <n v="0"/>
    <n v="1522.4399999999901"/>
    <n v="0"/>
    <n v="0"/>
    <n v="0"/>
    <n v="802691.45866308804"/>
    <n v="51918.195611443203"/>
    <n v="802691.45865847101"/>
    <x v="1"/>
    <n v="0.81875399520834002"/>
    <n v="9.9999999999999805E-7"/>
  </r>
  <r>
    <x v="2"/>
    <n v="9.9999999999999995E-7"/>
    <x v="7"/>
    <s v="solutions_v58.0.7.4s"/>
    <s v="base_ramp_storage_envelopes_up_1_dn_1"/>
    <n v="7"/>
    <n v="803581.05294218101"/>
    <n v="52557.493361999899"/>
    <n v="5494.5091568863199"/>
    <n v="9.8187535599999695E-3"/>
    <n v="9.8187535599999695E-3"/>
    <n v="6230.4671991537098"/>
    <n v="-0.14999999842607301"/>
    <n v="19374.063747999899"/>
    <n v="0"/>
    <n v="803581.05294226599"/>
    <n v="31869.171220148401"/>
    <m/>
    <n v="751023.54976151197"/>
    <n v="30.355764878040301"/>
    <m/>
    <x v="1"/>
    <n v="8.4369676187634404E-8"/>
    <n v="0"/>
    <n v="0"/>
    <n v="0"/>
    <n v="1522.4399999999901"/>
    <n v="0"/>
    <n v="0"/>
    <n v="0"/>
    <n v="803581.04312351195"/>
    <n v="52029.716925881003"/>
    <n v="803581.04312342801"/>
    <x v="1"/>
    <n v="0.84957360592520204"/>
    <n v="9.9999999999999805E-7"/>
  </r>
  <r>
    <x v="2"/>
    <n v="9.9999999999999995E-7"/>
    <x v="8"/>
    <s v="solutions_v58.0.8.4s"/>
    <s v="base_ramp_storage_envelopes_up_1_dn_1"/>
    <n v="7"/>
    <n v="805872.173782764"/>
    <n v="56390.979291999902"/>
    <n v="5243.6607367417801"/>
    <n v="9.9146086081499801E-3"/>
    <n v="9.9146086081499801E-3"/>
    <n v="6349.4739546001201"/>
    <n v="-0.14999999403598399"/>
    <n v="19374.063747999899"/>
    <n v="0"/>
    <n v="805872.17378548195"/>
    <n v="31864.9577891058"/>
    <m/>
    <n v="749481.18457887298"/>
    <n v="28.8366110624351"/>
    <m/>
    <x v="1"/>
    <n v="2.71883676759898E-6"/>
    <n v="0"/>
    <n v="0"/>
    <n v="0"/>
    <n v="1522.4399999999901"/>
    <n v="0"/>
    <n v="0"/>
    <n v="0"/>
    <n v="805872.16387087305"/>
    <n v="51655.648319247397"/>
    <n v="805872.16386815405"/>
    <x v="1"/>
    <n v="0.64735336799795096"/>
    <n v="9.9999999999999805E-7"/>
  </r>
  <r>
    <x v="2"/>
    <n v="9.9999999999999995E-7"/>
    <x v="9"/>
    <s v="solutions_v58.0.9.4s"/>
    <s v="base_ramp_storage_envelopes_up_1_dn_1"/>
    <n v="7"/>
    <n v="805930.41274075001"/>
    <n v="56668.377816"/>
    <n v="5474.8469141086398"/>
    <n v="1.01282941631249E-2"/>
    <n v="1.01282941631249E-2"/>
    <n v="6345.9562161742097"/>
    <n v="-0.18749999876093501"/>
    <n v="19374.063747999899"/>
    <n v="0"/>
    <n v="805930.41275940603"/>
    <n v="31872.408860789201"/>
    <m/>
    <n v="749262.024815112"/>
    <n v="28.823402729101801"/>
    <m/>
    <x v="1"/>
    <n v="1.86583551112562E-5"/>
    <n v="0"/>
    <n v="0"/>
    <n v="0"/>
    <n v="1522.4399999999901"/>
    <n v="0"/>
    <n v="0"/>
    <n v="0"/>
    <n v="805930.40263111203"/>
    <n v="51897.803306723697"/>
    <n v="805930.40261245298"/>
    <x v="1"/>
    <n v="0.59015755168059802"/>
    <n v="9.9999999999999805E-7"/>
  </r>
  <r>
    <x v="2"/>
    <n v="9.9999999999999995E-7"/>
    <x v="10"/>
    <s v="solutions_v58.0.99.4s"/>
    <s v="base_ramp_storage_envelopes_up_1_dn_1"/>
    <n v="7"/>
    <n v="805380.28119383706"/>
    <n v="56668.377816"/>
    <n v="5965.9707873563002"/>
    <n v="8.5372950844499994E-3"/>
    <n v="8.5372950844499994E-3"/>
    <n v="6447.8256482958404"/>
    <n v="-0.14999999668188199"/>
    <n v="19374.063747999899"/>
    <n v="0"/>
    <n v="805380.281215152"/>
    <n v="31940.094138005599"/>
    <m/>
    <n v="748711.89486185799"/>
    <n v="29.731241883368401"/>
    <m/>
    <x v="1"/>
    <n v="2.13153415825217E-5"/>
    <n v="0"/>
    <n v="0"/>
    <n v="0"/>
    <n v="1522.4399999999901"/>
    <n v="0"/>
    <n v="0"/>
    <n v="0"/>
    <n v="805380.27267785801"/>
    <n v="52354.743025065902"/>
    <n v="805380.27265654295"/>
    <x v="1"/>
    <n v="0.48631344418938"/>
    <n v="9.9999999999999805E-7"/>
  </r>
  <r>
    <x v="3"/>
    <n v="1000"/>
    <x v="0"/>
    <s v="solutions_v_s57.0.0.7.5s"/>
    <m/>
    <m/>
    <m/>
    <n v="51215.538215999797"/>
    <n v="5511.0325041864799"/>
    <m/>
    <m/>
    <n v="6264.92400426111"/>
    <n v="0.28604946985179702"/>
    <n v="19374.063747999899"/>
    <n v="0"/>
    <n v="796469.72021323501"/>
    <n v="31718.769336797101"/>
    <m/>
    <n v="745254.18199723505"/>
    <m/>
    <m/>
    <x v="2"/>
    <m/>
    <n v="0"/>
    <n v="0"/>
    <n v="0"/>
    <n v="1522.44"/>
    <n v="0"/>
    <n v="0"/>
    <n v="0"/>
    <n v="796469.72021323501"/>
    <n v="51861.381584722403"/>
    <m/>
    <x v="9"/>
    <m/>
    <m/>
  </r>
  <r>
    <x v="3"/>
    <n v="1000"/>
    <x v="1"/>
    <s v="solutions_v_s57.0.1.7.5s"/>
    <m/>
    <m/>
    <m/>
    <n v="51215.538215999797"/>
    <n v="5562.4890734515102"/>
    <m/>
    <m/>
    <n v="6270.5020695374897"/>
    <n v="0.28677371223803599"/>
    <n v="19374.063747999899"/>
    <n v="0"/>
    <n v="795440.87862226204"/>
    <n v="31723.466981769499"/>
    <m/>
    <n v="744225.34040626197"/>
    <m/>
    <m/>
    <x v="2"/>
    <m/>
    <n v="0"/>
    <n v="0"/>
    <n v="0"/>
    <n v="1522.44"/>
    <n v="0"/>
    <n v="0"/>
    <n v="0"/>
    <n v="795440.87862226204"/>
    <n v="51911.957733683499"/>
    <m/>
    <x v="9"/>
    <m/>
    <m/>
  </r>
  <r>
    <x v="3"/>
    <n v="1000"/>
    <x v="2"/>
    <s v="solutions_v_s57.0.2.7.5s"/>
    <m/>
    <m/>
    <m/>
    <n v="51215.538215999797"/>
    <n v="5396.9065708751004"/>
    <m/>
    <m/>
    <n v="6097.4759040633098"/>
    <n v="0.28823395981175698"/>
    <n v="19374.063747999899"/>
    <n v="0"/>
    <n v="796642.78684675996"/>
    <n v="31717.906475617499"/>
    <m/>
    <n v="745427.24863076"/>
    <m/>
    <m/>
    <x v="2"/>
    <m/>
    <n v="0"/>
    <n v="0"/>
    <n v="0"/>
    <n v="1522.44"/>
    <n v="0"/>
    <n v="0"/>
    <n v="0"/>
    <n v="796642.78684675996"/>
    <n v="51913.840890429201"/>
    <m/>
    <x v="9"/>
    <m/>
    <m/>
  </r>
  <r>
    <x v="3"/>
    <n v="1000"/>
    <x v="3"/>
    <s v="solutions_v_s57.0.3.7.5s"/>
    <m/>
    <m/>
    <m/>
    <n v="51215.538215999797"/>
    <n v="5510.3993974831101"/>
    <m/>
    <m/>
    <n v="6255.6856587311304"/>
    <n v="0.28577337847723899"/>
    <n v="19374.063747999899"/>
    <n v="0"/>
    <n v="796530.57316235895"/>
    <n v="31736.447047517599"/>
    <m/>
    <n v="745315.034946359"/>
    <m/>
    <m/>
    <x v="2"/>
    <m/>
    <n v="0"/>
    <n v="0"/>
    <n v="0"/>
    <n v="1522.44"/>
    <n v="0"/>
    <n v="0"/>
    <n v="0"/>
    <n v="796530.57316235895"/>
    <n v="51887.664534269403"/>
    <m/>
    <x v="9"/>
    <m/>
    <m/>
  </r>
  <r>
    <x v="3"/>
    <n v="1000"/>
    <x v="4"/>
    <s v="solutions_v_s57.0.4.7.5s"/>
    <m/>
    <m/>
    <m/>
    <n v="51215.538215999797"/>
    <n v="5468.8033951918396"/>
    <m/>
    <m/>
    <n v="6223.40541472721"/>
    <n v="0.28604362412997397"/>
    <n v="19374.063747999899"/>
    <n v="0"/>
    <n v="795701.56489834096"/>
    <n v="31732.7489471019"/>
    <m/>
    <n v="744486.02668234101"/>
    <m/>
    <m/>
    <x v="2"/>
    <m/>
    <n v="0"/>
    <n v="0"/>
    <n v="0"/>
    <n v="1522.44"/>
    <n v="0"/>
    <n v="0"/>
    <n v="0"/>
    <n v="795701.56489834096"/>
    <n v="51874.650675566503"/>
    <m/>
    <x v="9"/>
    <m/>
    <m/>
  </r>
  <r>
    <x v="3"/>
    <n v="1000"/>
    <x v="5"/>
    <s v="solutions_v_s57.0.5.7.5s"/>
    <m/>
    <m/>
    <m/>
    <n v="51215.538215999797"/>
    <n v="5636.9776814979195"/>
    <m/>
    <m/>
    <n v="6180.6081327797101"/>
    <n v="0.28686269432236"/>
    <n v="19374.063747999899"/>
    <n v="0"/>
    <n v="795008.51956981199"/>
    <n v="31720.751947542001"/>
    <m/>
    <n v="743792.98135381204"/>
    <m/>
    <m/>
    <x v="2"/>
    <m/>
    <n v="0"/>
    <n v="0"/>
    <n v="0"/>
    <n v="1522.44"/>
    <n v="0"/>
    <n v="0"/>
    <n v="0"/>
    <n v="795008.51956981199"/>
    <n v="52073.625244260198"/>
    <m/>
    <x v="9"/>
    <m/>
    <m/>
  </r>
  <r>
    <x v="3"/>
    <n v="1000"/>
    <x v="6"/>
    <s v="solutions_v_s57.0.6.7.5s"/>
    <m/>
    <m/>
    <m/>
    <n v="51215.538215999797"/>
    <n v="5453.6801356166998"/>
    <m/>
    <m/>
    <n v="6135.0431416015799"/>
    <n v="0.28565611472680602"/>
    <n v="19374.063747999899"/>
    <n v="0"/>
    <n v="796231.62824480399"/>
    <n v="31703.054869428099"/>
    <m/>
    <n v="745016.09002880403"/>
    <m/>
    <m/>
    <x v="2"/>
    <m/>
    <n v="0"/>
    <n v="0"/>
    <n v="0"/>
    <n v="1522.44"/>
    <n v="0"/>
    <n v="0"/>
    <n v="0"/>
    <n v="796231.62824480399"/>
    <n v="51918.195611443203"/>
    <m/>
    <x v="9"/>
    <m/>
    <m/>
  </r>
  <r>
    <x v="3"/>
    <n v="1000"/>
    <x v="7"/>
    <s v="solutions_v_s57.0.7.7.5s"/>
    <m/>
    <m/>
    <m/>
    <n v="51215.538215999797"/>
    <n v="5470.4920250736004"/>
    <m/>
    <m/>
    <n v="5998.8817356171603"/>
    <n v="0.29120449956488098"/>
    <n v="19374.063747999899"/>
    <n v="0"/>
    <n v="795787.74027260696"/>
    <n v="31661.602888424499"/>
    <m/>
    <n v="744572.202056607"/>
    <m/>
    <m/>
    <x v="2"/>
    <m/>
    <n v="0"/>
    <n v="0"/>
    <n v="0"/>
    <n v="1522.44"/>
    <n v="0"/>
    <n v="0"/>
    <n v="0"/>
    <n v="795787.74027260696"/>
    <n v="52029.716925881003"/>
    <m/>
    <x v="9"/>
    <m/>
    <m/>
  </r>
  <r>
    <x v="3"/>
    <n v="1000"/>
    <x v="8"/>
    <s v="solutions_v_s57.0.8.7.5s"/>
    <m/>
    <m/>
    <m/>
    <n v="51215.538215999797"/>
    <n v="5597.3611574255201"/>
    <m/>
    <m/>
    <n v="6552.6810537729098"/>
    <n v="0.32435881632074198"/>
    <n v="19374.063747999899"/>
    <n v="0"/>
    <n v="796913.55073846295"/>
    <n v="31715.110665291799"/>
    <m/>
    <n v="745051.81482554099"/>
    <m/>
    <m/>
    <x v="2"/>
    <m/>
    <n v="0"/>
    <n v="646.19769692231898"/>
    <n v="0"/>
    <n v="1522.44"/>
    <n v="0"/>
    <n v="0.64619769692231899"/>
    <n v="0"/>
    <n v="796267.35304154095"/>
    <n v="51655.648319247499"/>
    <m/>
    <x v="9"/>
    <m/>
    <m/>
  </r>
  <r>
    <x v="3"/>
    <n v="1000"/>
    <x v="9"/>
    <s v="solutions_v_s57.0.9.7.5s"/>
    <m/>
    <m/>
    <m/>
    <n v="52557.493361999899"/>
    <n v="5773.6435417101702"/>
    <m/>
    <m/>
    <n v="6496.4040932725702"/>
    <n v="0.31980534664449201"/>
    <n v="19374.063747999899"/>
    <n v="0"/>
    <n v="798838.70893101301"/>
    <n v="31724.3848142895"/>
    <m/>
    <n v="745956.51156556199"/>
    <m/>
    <m/>
    <x v="2"/>
    <m/>
    <n v="0"/>
    <n v="324.70400345111301"/>
    <n v="0"/>
    <n v="1522.44"/>
    <n v="0"/>
    <n v="0.324704003451113"/>
    <n v="0"/>
    <n v="798514.00492756197"/>
    <n v="51897.803306723697"/>
    <m/>
    <x v="9"/>
    <m/>
    <m/>
  </r>
  <r>
    <x v="3"/>
    <n v="1000"/>
    <x v="10"/>
    <s v="solutions_v_s57.0.99.7.5s"/>
    <m/>
    <m/>
    <m/>
    <n v="52685.298613999897"/>
    <n v="6210.1210994667999"/>
    <m/>
    <m/>
    <n v="6577.89937683072"/>
    <n v="0.32209754379778599"/>
    <n v="19374.063747999899"/>
    <n v="0"/>
    <n v="800584.98286941496"/>
    <n v="31826.336722305899"/>
    <m/>
    <n v="747580.51637932495"/>
    <m/>
    <m/>
    <x v="2"/>
    <m/>
    <n v="0"/>
    <n v="319.16787609091602"/>
    <n v="0"/>
    <n v="1522.44"/>
    <n v="0"/>
    <n v="0.31916787609091601"/>
    <n v="0"/>
    <n v="800265.81499332399"/>
    <n v="52354.743025065902"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9DE7E-1E15-4F04-B85D-D48B78D19A88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15" firstHeaderRow="1" firstDataRow="2" firstDataCol="1"/>
  <pivotFields count="36">
    <pivotField axis="axisCol" showAll="0" defaultSubtotal="0">
      <items count="4">
        <item x="0"/>
        <item x="2"/>
        <item x="1"/>
        <item x="3"/>
      </items>
    </pivotField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ELGEN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50E87-5A31-453C-9260-BB639B53622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15" firstHeaderRow="1" firstDataRow="2" firstDataCol="1"/>
  <pivotFields count="36">
    <pivotField axis="axisCol" showAll="0" defaultSubtotal="0">
      <items count="4">
        <item x="0"/>
        <item x="2"/>
        <item x="3"/>
        <item x="1"/>
      </items>
    </pivotField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EEN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12837-4128-437C-B227-B7946742B3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3" firstHeaderRow="1" firstDataRow="1" firstDataCol="1"/>
  <pivotFields count="36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EEN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0CAEB-5BDB-4FAA-8811-08FD368FA54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N53:S66" firstHeaderRow="1" firstDataRow="2" firstDataCol="1"/>
  <pivotFields count="36">
    <pivotField axis="axisCol" showAll="0" sortType="ascending">
      <items count="5">
        <item x="1"/>
        <item x="0"/>
        <item x="2"/>
        <item x="3"/>
        <item t="default"/>
      </items>
    </pivotField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EOV" fld="15" baseField="0" baseItem="0"/>
  </dataFields>
  <formats count="1">
    <format dxfId="19">
      <pivotArea collapsedLevelsAreSubtotals="1" fieldPosition="0">
        <references count="1">
          <reference field="2" count="0"/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A7139-40F9-4A3C-B9E0-BE5871C08D7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N35:R47" firstHeaderRow="1" firstDataRow="2" firstDataCol="1"/>
  <pivotFields count="36">
    <pivotField axis="axisCol" showAll="0" defaultSubtotal="0">
      <items count="4">
        <item x="1"/>
        <item x="0"/>
        <item x="2"/>
        <item x="3"/>
      </items>
    </pivotField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E_fixed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26F32-A2E5-4590-9140-59156947E752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N20:R32" firstHeaderRow="1" firstDataRow="2" firstDataCol="1"/>
  <pivotFields count="36">
    <pivotField axis="axisCol" showAll="0" defaultSubtotal="0">
      <items count="4">
        <item x="1"/>
        <item x="0"/>
        <item x="2"/>
        <item x="3"/>
      </items>
    </pivotField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E_production_cost" fld="18" baseField="0" baseItem="0" numFmtId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64F01-BCAD-45FE-8C6C-372B27C3731D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:L56" firstHeaderRow="1" firstDataRow="2" firstDataCol="1" rowPageCount="1" colPageCount="1"/>
  <pivotFields count="36">
    <pivotField axis="axisRow" multipleItemSelectionAllowed="1" showAll="0" defaultSubtotal="0">
      <items count="4">
        <item x="0"/>
        <item x="2"/>
        <item x="3"/>
        <item x="1"/>
      </items>
    </pivotField>
    <pivotField showAll="0" defaultSubtotal="0"/>
    <pivotField axis="axisCol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dataField="1" subtotalTop="0" showAll="0" defaultSubtotal="0"/>
    <pivotField subtotalTop="0" showAll="0" defaultSubtotal="0"/>
    <pivotField subtotalTop="0" showAll="0" defaultSubtotal="0"/>
    <pivotField dataField="1"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ubtotalTop="0" showAll="0" defaultSubtotal="0"/>
    <pivotField showAll="0" defaultSubtotal="0"/>
    <pivotField dataField="1" subtotalTop="0" showAll="0" defaultSubtotal="0"/>
    <pivotField showAll="0" defaultSubtotal="0"/>
    <pivotField showAll="0" defaultSubtotal="0"/>
    <pivotField numFmtId="11" showAll="0" defaultSubtotal="0"/>
    <pivotField dataField="1" showAll="0" defaultSubtotal="0"/>
    <pivotField showAll="0" defaultSubtotal="0"/>
    <pivotField dataField="1" showAll="0" defaultSubtotal="0"/>
    <pivotField dataField="1"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axis="axisPage" subtotalTop="0" multipleItemSelectionAllowed="1" showAll="0" defaultSubtotal="0">
      <items count="10">
        <item x="0"/>
        <item x="2"/>
        <item x="3"/>
        <item x="4"/>
        <item x="5"/>
        <item x="6"/>
        <item x="7"/>
        <item x="8"/>
        <item x="1"/>
        <item x="9"/>
      </items>
    </pivotField>
    <pivotField showAll="0" defaultSubtotal="0"/>
    <pivotField showAll="0" defaultSubtotal="0"/>
  </pivotFields>
  <rowFields count="2">
    <field x="-2"/>
    <field x="0"/>
  </rowFields>
  <rowItems count="50">
    <i>
      <x/>
    </i>
    <i r="1">
      <x/>
    </i>
    <i r="1">
      <x v="1"/>
    </i>
    <i r="1">
      <x v="2"/>
    </i>
    <i r="1">
      <x v="3"/>
    </i>
    <i i="1">
      <x v="1"/>
    </i>
    <i r="1" i="1">
      <x/>
    </i>
    <i r="1" i="1">
      <x v="1"/>
    </i>
    <i r="1" i="1">
      <x v="2"/>
    </i>
    <i r="1" i="1">
      <x v="3"/>
    </i>
    <i i="2">
      <x v="2"/>
    </i>
    <i r="1" i="2">
      <x/>
    </i>
    <i r="1" i="2">
      <x v="1"/>
    </i>
    <i r="1" i="2">
      <x v="2"/>
    </i>
    <i r="1" i="2">
      <x v="3"/>
    </i>
    <i i="3">
      <x v="3"/>
    </i>
    <i r="1" i="3">
      <x/>
    </i>
    <i r="1" i="3">
      <x v="1"/>
    </i>
    <i r="1" i="3">
      <x v="2"/>
    </i>
    <i r="1" i="3">
      <x v="3"/>
    </i>
    <i i="4">
      <x v="4"/>
    </i>
    <i r="1" i="4">
      <x/>
    </i>
    <i r="1" i="4">
      <x v="1"/>
    </i>
    <i r="1" i="4">
      <x v="2"/>
    </i>
    <i r="1" i="4">
      <x v="3"/>
    </i>
    <i i="5">
      <x v="5"/>
    </i>
    <i r="1" i="5">
      <x/>
    </i>
    <i r="1" i="5">
      <x v="1"/>
    </i>
    <i r="1" i="5">
      <x v="2"/>
    </i>
    <i r="1" i="5">
      <x v="3"/>
    </i>
    <i i="6">
      <x v="6"/>
    </i>
    <i r="1" i="6">
      <x/>
    </i>
    <i r="1" i="6">
      <x v="1"/>
    </i>
    <i r="1" i="6">
      <x v="2"/>
    </i>
    <i r="1" i="6">
      <x v="3"/>
    </i>
    <i i="7">
      <x v="7"/>
    </i>
    <i r="1" i="7">
      <x/>
    </i>
    <i r="1" i="7">
      <x v="1"/>
    </i>
    <i r="1" i="7">
      <x v="2"/>
    </i>
    <i r="1" i="7">
      <x v="3"/>
    </i>
    <i i="8">
      <x v="8"/>
    </i>
    <i r="1" i="8">
      <x/>
    </i>
    <i r="1" i="8">
      <x v="1"/>
    </i>
    <i r="1" i="8">
      <x v="2"/>
    </i>
    <i r="1" i="8">
      <x v="3"/>
    </i>
    <i i="9">
      <x v="9"/>
    </i>
    <i r="1" i="9">
      <x/>
    </i>
    <i r="1" i="9">
      <x v="1"/>
    </i>
    <i r="1" i="9">
      <x v="2"/>
    </i>
    <i r="1" i="9">
      <x v="3"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3" hier="-1"/>
  </pageFields>
  <dataFields count="10">
    <dataField name="Sum of E_start_cost" fld="25" baseField="0" baseItem="0"/>
    <dataField name="Sum of E_production_cost" fld="18" baseField="0" baseItem="0"/>
    <dataField name="Sum of E_fixed_cost" fld="7" baseField="0" baseItem="0"/>
    <dataField name="Sum of EOV" fld="15" baseField="0" baseItem="0"/>
    <dataField name="Sum of EOPEX" fld="30" baseField="0" baseItem="0"/>
    <dataField name="Sum of EENS_cost" fld="14" baseField="0" baseItem="0"/>
    <dataField name="Sum of ELGEN_cost" fld="24" baseField="0" baseItem="0"/>
    <dataField name="Sum of reserve_cost_uc" fld="10" baseField="0" baseItem="0"/>
    <dataField name="Sum of OPEX_uc" fld="32" baseField="0" baseItem="0"/>
    <dataField name="Sum of E_redispatch_cost" fld="22" baseField="0" baseItem="0"/>
  </dataFields>
  <formats count="13">
    <format dxfId="33">
      <pivotArea collapsedLevelsAreSubtotals="1" fieldPosition="0">
        <references count="2">
          <reference field="4294967294" count="1" selected="0">
            <x v="7"/>
          </reference>
          <reference field="0" count="0"/>
        </references>
      </pivotArea>
    </format>
    <format dxfId="32">
      <pivotArea collapsedLevelsAreSubtotals="1" fieldPosition="0">
        <references count="2">
          <reference field="4294967294" count="1" selected="0">
            <x v="9"/>
          </reference>
          <reference field="0" count="0"/>
        </references>
      </pivotArea>
    </format>
    <format dxfId="31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  <format dxfId="30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29">
      <pivotArea collapsedLevelsAreSubtotals="1" fieldPosition="0">
        <references count="2">
          <reference field="4294967294" count="1">
            <x v="3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8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27">
      <pivotArea collapsedLevelsAreSubtotals="1" fieldPosition="0">
        <references count="2">
          <reference field="4294967294" count="1">
            <x v="4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6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  <format dxfId="25">
      <pivotArea collapsedLevelsAreSubtotals="1" fieldPosition="0">
        <references count="2">
          <reference field="4294967294" count="1">
            <x v="5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4">
      <pivotArea collapsedLevelsAreSubtotals="1" fieldPosition="0">
        <references count="2">
          <reference field="4294967294" count="1" selected="0">
            <x v="5"/>
          </reference>
          <reference field="0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2">
      <pivotArea collapsedLevelsAreSubtotals="1" fieldPosition="0">
        <references count="3">
          <reference field="4294967294" count="1" selected="0">
            <x v="6"/>
          </reference>
          <reference field="0" count="1">
            <x v="2"/>
          </reference>
          <reference field="2" count="3" selected="0">
            <x v="8"/>
            <x v="9"/>
            <x v="10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6"/>
          </reference>
          <reference field="0" count="1">
            <x v="1"/>
          </reference>
          <reference field="2" count="1" selected="0">
            <x v="2"/>
          </reference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4">
              <x v="0"/>
              <x v="1"/>
              <x v="2"/>
              <x v="3"/>
            </reference>
            <reference field="2" count="1" selected="0"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A38DF-06FF-455A-862D-9439723707C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>
  <location ref="N4:Z17" firstHeaderRow="1" firstDataRow="3" firstDataCol="1"/>
  <pivotFields count="36">
    <pivotField axis="axisCol" showAll="0" defaultSubtotal="0">
      <items count="4">
        <item x="0"/>
        <item x="2"/>
        <item x="3"/>
        <item x="1"/>
      </items>
    </pivotField>
    <pivotField showAll="0" defaultSubtotal="0"/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name="a" multipleItemSelectionAllowed="1" showAll="0" defaultSubtotal="0">
      <items count="10">
        <item x="0"/>
        <item x="2"/>
        <item x="3"/>
        <item x="4"/>
        <item x="5"/>
        <item x="6"/>
        <item x="7"/>
        <item x="8"/>
        <item x="1"/>
        <item x="9"/>
      </items>
    </pivotField>
    <pivotField subtotalTop="0" showAll="0" defaultSubtotal="0"/>
    <pivotField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</colItems>
  <dataFields count="3">
    <dataField name="Sum of EOPEX" fld="30" baseField="0" baseItem="0"/>
    <dataField name="Sum of EENS_cost" fld="14" baseField="0" baseItem="0"/>
    <dataField name="Sum of ELGEN_cost" fld="24" baseField="0" baseItem="0"/>
  </dataFields>
  <formats count="1">
    <format dxfId="0">
      <pivotArea outline="0" collapsedLevelsAreSubtotals="1" fieldPosition="0"/>
    </format>
  </formats>
  <chartFormats count="1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3E297-6B2D-427D-B3A9-CC983FCCA9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3:N59" firstHeaderRow="0" firstDataRow="1" firstDataCol="1"/>
  <pivotFields count="36">
    <pivotField axis="axisRow" showAll="0" sortType="descending">
      <items count="5">
        <item x="3"/>
        <item x="2"/>
        <item x="0"/>
        <item x="1"/>
        <item t="default"/>
      </items>
    </pivotField>
    <pivotField showAll="0"/>
    <pivotField axis="axisRow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5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ENS_cost" fld="14" baseField="0" baseItem="0"/>
    <dataField name="Sum of ELGEN_cos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F9762-190F-4C0E-AEBF-73666757FD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E59" firstHeaderRow="0" firstDataRow="1" firstDataCol="1"/>
  <pivotFields count="36">
    <pivotField axis="axisRow" showAll="0" sortType="descending">
      <items count="5">
        <item x="3"/>
        <item x="2"/>
        <item x="0"/>
        <item x="1"/>
        <item t="default"/>
      </items>
    </pivotField>
    <pivotField showAll="0"/>
    <pivotField axis="axisRow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5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_fixed_cost" fld="7" baseField="0" baseItem="0"/>
    <dataField name="Sum of E_production_cost" fld="18" baseField="0" baseItem="0"/>
    <dataField name="Sum of EENS_cost" fld="14" baseField="0" baseItem="0"/>
    <dataField name="Sum of ELGEN_cost" fld="24" baseField="0" baseItem="0"/>
  </dataFields>
  <chartFormats count="4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B5EA-D271-4993-9251-1F5433299843}" name="PivotTable3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3">
  <location ref="O4:S13" firstHeaderRow="1" firstDataRow="2" firstDataCol="1"/>
  <pivotFields count="36">
    <pivotField axis="axisCol" showAll="0" defaultSubtotal="0">
      <items count="4">
        <item x="0"/>
        <item x="2"/>
        <item x="3"/>
        <item x="1"/>
      </items>
    </pivotField>
    <pivotField showAll="0" defaultSubtotal="0"/>
    <pivotField axis="axisRow" multipleItemSelectionAllowed="1" showAll="0" defaultSubtotal="0">
      <items count="11">
        <item h="1" x="0"/>
        <item h="1" x="1"/>
        <item h="1" x="2"/>
        <item h="1" x="3"/>
        <item h="1" x="4"/>
        <item x="5"/>
        <item h="1" x="6"/>
        <item h="1" x="7"/>
        <item x="8"/>
        <item h="1"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-2"/>
    <field x="2"/>
  </rowFields>
  <rowItems count="8">
    <i>
      <x/>
    </i>
    <i r="1">
      <x v="5"/>
    </i>
    <i r="1">
      <x v="8"/>
    </i>
    <i r="1">
      <x v="10"/>
    </i>
    <i i="1">
      <x v="1"/>
    </i>
    <i r="1" i="1">
      <x v="5"/>
    </i>
    <i r="1" i="1">
      <x v="8"/>
    </i>
    <i r="1" i="1">
      <x v="10"/>
    </i>
  </rowItems>
  <colFields count="1">
    <field x="0"/>
  </colFields>
  <colItems count="4">
    <i>
      <x/>
    </i>
    <i>
      <x v="1"/>
    </i>
    <i>
      <x v="2"/>
    </i>
    <i>
      <x v="3"/>
    </i>
  </colItems>
  <dataFields count="2">
    <dataField name="Sum of E_thermal_production_MWh" fld="16" baseField="0" baseItem="0"/>
    <dataField name="Sum of E_storage_discharge_MWh" fld="8" baseField="0" baseItem="0"/>
  </dataFields>
  <formats count="3">
    <format dxfId="3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">
      <pivotArea collapsedLevelsAreSubtotals="1" fieldPosition="0">
        <references count="2">
          <reference field="4294967294" count="1">
            <x v="1"/>
          </reference>
          <reference field="2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9D50D-0103-469C-9736-5BBACD171DF6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L49" firstHeaderRow="1" firstDataRow="2" firstDataCol="1"/>
  <pivotFields count="36">
    <pivotField axis="axisRow" showAll="0" defaultSubtotal="0">
      <items count="4">
        <item x="0"/>
        <item x="2"/>
        <item x="3"/>
        <item x="1"/>
      </items>
    </pivotField>
    <pivotField showAll="0" defaultSubtotal="0"/>
    <pivotField axis="axisCol" subtotalTop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dataField="1" subtotalTop="0" showAll="0" defaultSubtotal="0"/>
    <pivotField subtotalTop="0" showAll="0" defaultSubtotal="0"/>
    <pivotField showAll="0" defaultSubtotal="0"/>
    <pivotField dataField="1" subtotalTop="0"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ubtotalTop="0" showAll="0" defaultSubtotal="0"/>
    <pivotField dataField="1" subtotalTop="0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showAll="0" defaultSubtotal="0"/>
    <pivotField showAll="0" defaultSubtotal="0"/>
  </pivotFields>
  <rowFields count="2">
    <field x="-2"/>
    <field x="0"/>
  </rowFields>
  <rowItems count="45">
    <i>
      <x/>
    </i>
    <i r="1">
      <x/>
    </i>
    <i r="1">
      <x v="1"/>
    </i>
    <i r="1">
      <x v="2"/>
    </i>
    <i r="1">
      <x v="3"/>
    </i>
    <i i="1">
      <x v="1"/>
    </i>
    <i r="1" i="1">
      <x/>
    </i>
    <i r="1" i="1">
      <x v="1"/>
    </i>
    <i r="1" i="1">
      <x v="2"/>
    </i>
    <i r="1" i="1">
      <x v="3"/>
    </i>
    <i i="2">
      <x v="2"/>
    </i>
    <i r="1" i="2">
      <x/>
    </i>
    <i r="1" i="2">
      <x v="1"/>
    </i>
    <i r="1" i="2">
      <x v="2"/>
    </i>
    <i r="1" i="2">
      <x v="3"/>
    </i>
    <i i="3">
      <x v="3"/>
    </i>
    <i r="1" i="3">
      <x/>
    </i>
    <i r="1" i="3">
      <x v="1"/>
    </i>
    <i r="1" i="3">
      <x v="2"/>
    </i>
    <i r="1" i="3">
      <x v="3"/>
    </i>
    <i i="4">
      <x v="4"/>
    </i>
    <i r="1" i="4">
      <x/>
    </i>
    <i r="1" i="4">
      <x v="1"/>
    </i>
    <i r="1" i="4">
      <x v="2"/>
    </i>
    <i r="1" i="4">
      <x v="3"/>
    </i>
    <i i="5">
      <x v="5"/>
    </i>
    <i r="1" i="5">
      <x/>
    </i>
    <i r="1" i="5">
      <x v="1"/>
    </i>
    <i r="1" i="5">
      <x v="2"/>
    </i>
    <i r="1" i="5">
      <x v="3"/>
    </i>
    <i i="6">
      <x v="6"/>
    </i>
    <i r="1" i="6">
      <x/>
    </i>
    <i r="1" i="6">
      <x v="1"/>
    </i>
    <i r="1" i="6">
      <x v="2"/>
    </i>
    <i r="1" i="6">
      <x v="3"/>
    </i>
    <i i="7">
      <x v="7"/>
    </i>
    <i r="1" i="7">
      <x/>
    </i>
    <i r="1" i="7">
      <x v="1"/>
    </i>
    <i r="1" i="7">
      <x v="2"/>
    </i>
    <i r="1" i="7">
      <x v="3"/>
    </i>
    <i i="8">
      <x v="8"/>
    </i>
    <i r="1" i="8">
      <x/>
    </i>
    <i r="1" i="8">
      <x v="1"/>
    </i>
    <i r="1" i="8">
      <x v="2"/>
    </i>
    <i r="1" i="8">
      <x v="3"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9">
    <dataField name="Sum of E_thermal_production_MWh" fld="16" baseField="0" baseItem="0"/>
    <dataField name="Sum of E_nonRES_nonThermal_production_MWh" fld="26" baseField="0" baseItem="0"/>
    <dataField name="Sum of E_storage_charge_MWh" fld="11" baseField="0" baseItem="0"/>
    <dataField name="Sum of E_storage_discharge_MWh" fld="8" baseField="0" baseItem="0"/>
    <dataField name="Sum of input_load_MWh" fld="31" baseField="0" baseItem="0"/>
    <dataField name="Sum of input_RES_production_MWh" fld="13" baseField="0" baseItem="0"/>
    <dataField name="Sum of EENS" fld="29" baseField="0" baseItem="0"/>
    <dataField name="Sum of ELGEN" fld="28" baseField="0" baseItem="0"/>
    <dataField name="Sum of ECUR" fld="21" baseField="0" baseItem="0"/>
  </dataFields>
  <formats count="15">
    <format dxfId="18">
      <pivotArea collapsedLevelsAreSubtotals="1" fieldPosition="0">
        <references count="2">
          <reference field="4294967294" count="1" selected="0">
            <x v="6"/>
          </reference>
          <reference field="0" count="0"/>
        </references>
      </pivotArea>
    </format>
    <format dxfId="17">
      <pivotArea collapsedLevelsAreSubtotals="1" fieldPosition="0">
        <references count="2">
          <reference field="4294967294" count="1">
            <x v="7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6">
      <pivotArea collapsedLevelsAreSubtotals="1" fieldPosition="0">
        <references count="2">
          <reference field="4294967294" count="1" selected="0">
            <x v="7"/>
          </reference>
          <reference field="0" count="0"/>
        </references>
      </pivotArea>
    </format>
    <format dxfId="15">
      <pivotArea collapsedLevelsAreSubtotals="1" fieldPosition="0">
        <references count="2">
          <reference field="4294967294" count="1">
            <x v="8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4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  <format dxfId="13">
      <pivotArea collapsedLevelsAreSubtotals="1" fieldPosition="0">
        <references count="2">
          <reference field="4294967294" count="1" selected="0">
            <x v="4"/>
          </reference>
          <reference field="0" count="0"/>
        </references>
      </pivotArea>
    </format>
    <format dxfId="12">
      <pivotArea collapsedLevelsAreSubtotals="1" fieldPosition="0">
        <references count="2">
          <reference field="4294967294" count="1">
            <x v="5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1">
      <pivotArea collapsedLevelsAreSubtotals="1" fieldPosition="0">
        <references count="2">
          <reference field="4294967294" count="1" selected="0">
            <x v="5"/>
          </reference>
          <reference field="0" count="0"/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9">
      <pivotArea collapsedLevelsAreSubtotals="1" fieldPosition="0">
        <references count="2">
          <reference field="4294967294" count="1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">
      <pivotArea collapsedLevelsAreSubtotals="1" fieldPosition="0">
        <references count="2">
          <reference field="4294967294" count="1">
            <x v="2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5">
      <pivotArea collapsedLevelsAreSubtotals="1" fieldPosition="0">
        <references count="2">
          <reference field="4294967294" count="1">
            <x v="3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</format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8A276-6A7F-4314-8388-1EBB707DB52A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O28:T33" firstHeaderRow="1" firstDataRow="2" firstDataCol="1"/>
  <pivotFields count="36"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multipleItemSelectionAllowed="1" showAll="0">
      <items count="12">
        <item h="1" x="0"/>
        <item h="1" x="1"/>
        <item h="1" x="2"/>
        <item h="1" x="3"/>
        <item h="1" x="4"/>
        <item x="5"/>
        <item h="1" x="6"/>
        <item h="1" x="7"/>
        <item x="8"/>
        <item h="1"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5"/>
    </i>
    <i>
      <x v="8"/>
    </i>
    <i>
      <x v="1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E_storage_charge_MWh" fld="11" baseField="0" baseItem="0"/>
  </dataFields>
  <chartFormats count="5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8A6C-3452-4385-9251-98CC8CD3D715}">
  <dimension ref="A1:N64"/>
  <sheetViews>
    <sheetView topLeftCell="A25" workbookViewId="0">
      <selection activeCell="N5" sqref="N5"/>
    </sheetView>
  </sheetViews>
  <sheetFormatPr defaultRowHeight="15" x14ac:dyDescent="0.25"/>
  <cols>
    <col min="2" max="2" width="4.85546875" bestFit="1" customWidth="1"/>
    <col min="3" max="3" width="11.140625" bestFit="1" customWidth="1"/>
    <col min="4" max="4" width="10.85546875" customWidth="1"/>
    <col min="5" max="5" width="8.42578125" bestFit="1" customWidth="1"/>
    <col min="6" max="6" width="9.42578125" bestFit="1" customWidth="1"/>
    <col min="7" max="7" width="11.140625" bestFit="1" customWidth="1"/>
    <col min="8" max="8" width="8.140625" bestFit="1" customWidth="1"/>
    <col min="9" max="9" width="8.42578125" bestFit="1" customWidth="1"/>
    <col min="10" max="10" width="9.42578125" bestFit="1" customWidth="1"/>
  </cols>
  <sheetData>
    <row r="1" spans="1:2" x14ac:dyDescent="0.25">
      <c r="A1" t="s">
        <v>114</v>
      </c>
      <c r="B1" t="s">
        <v>115</v>
      </c>
    </row>
    <row r="2" spans="1:2" x14ac:dyDescent="0.25">
      <c r="B2" t="s">
        <v>116</v>
      </c>
    </row>
    <row r="3" spans="1:2" x14ac:dyDescent="0.25">
      <c r="B3" t="s">
        <v>117</v>
      </c>
    </row>
    <row r="22" spans="1:14" x14ac:dyDescent="0.25">
      <c r="C22" s="14" t="s">
        <v>106</v>
      </c>
      <c r="D22" s="14"/>
      <c r="E22" s="14"/>
      <c r="F22" s="14"/>
      <c r="G22" s="14" t="s">
        <v>107</v>
      </c>
      <c r="H22" s="14"/>
      <c r="I22" s="14"/>
      <c r="J22" s="14"/>
      <c r="K22" t="s">
        <v>105</v>
      </c>
    </row>
    <row r="23" spans="1:14" x14ac:dyDescent="0.25">
      <c r="B23" t="s">
        <v>108</v>
      </c>
      <c r="C23" t="s">
        <v>64</v>
      </c>
      <c r="D23" t="s">
        <v>26</v>
      </c>
      <c r="E23" t="s">
        <v>47</v>
      </c>
      <c r="F23" t="s">
        <v>63</v>
      </c>
      <c r="G23" t="s">
        <v>64</v>
      </c>
      <c r="H23" t="s">
        <v>26</v>
      </c>
      <c r="I23" t="s">
        <v>47</v>
      </c>
      <c r="J23" t="s">
        <v>63</v>
      </c>
      <c r="K23" t="s">
        <v>64</v>
      </c>
      <c r="L23" t="s">
        <v>26</v>
      </c>
      <c r="M23" t="s">
        <v>47</v>
      </c>
      <c r="N23" t="s">
        <v>63</v>
      </c>
    </row>
    <row r="24" spans="1:14" x14ac:dyDescent="0.25">
      <c r="A24" s="13"/>
      <c r="B24">
        <v>0</v>
      </c>
      <c r="C24" s="6">
        <f>GETPIVOTDATA("Sum of EOPEX",EOPEX!$N$4,"model_type",C$23,"rho",$B24)</f>
        <v>808058.20521904796</v>
      </c>
      <c r="D24" s="6">
        <f>GETPIVOTDATA("Sum of EOPEX",EOPEX!$N$4,"model_type",D$23,"rho",$B24)</f>
        <v>800627.12557306699</v>
      </c>
      <c r="E24" s="6">
        <f>GETPIVOTDATA("Sum of EOPEX",EOPEX!$N$4,"model_type",E$23,"rho",$B24)</f>
        <v>800627.08243458695</v>
      </c>
      <c r="F24" s="6">
        <f>GETPIVOTDATA("Sum of EOPEX",EOPEX!$N$4,"model_type",F$23,"rho",$B24)</f>
        <v>796469.72021323501</v>
      </c>
      <c r="G24" s="6">
        <f>GETPIVOTDATA("Sum of EENS_cost",EOPEX!$N$4,"model_type",G$23,"rho",$B24)</f>
        <v>0</v>
      </c>
      <c r="H24" s="6">
        <f>GETPIVOTDATA("Sum of EENS_cost",EOPEX!$N$4,"model_type",H$23,"rho",$B24)</f>
        <v>0</v>
      </c>
      <c r="I24" s="6">
        <f>GETPIVOTDATA("Sum of EENS_cost",EOPEX!$N$4,"model_type",I$23,"rho",$B24)</f>
        <v>0</v>
      </c>
      <c r="J24" s="6">
        <f>GETPIVOTDATA("Sum of EENS_cost",EOPEX!$N$4,"model_type",J$23,"rho",$B24)</f>
        <v>0</v>
      </c>
      <c r="K24">
        <f>GETPIVOTDATA("EENS",EENS!$A$3,"model_type",Summary!K$23,"rho",Summary!$B24)</f>
        <v>0</v>
      </c>
      <c r="L24">
        <f>GETPIVOTDATA("EENS",EENS!$A$3,"model_type",Summary!L$23,"rho",Summary!$B24)</f>
        <v>0</v>
      </c>
      <c r="M24">
        <f>GETPIVOTDATA("EENS",EENS!$A$3,"model_type",Summary!M$23,"rho",Summary!$B24)</f>
        <v>0</v>
      </c>
      <c r="N24">
        <f>GETPIVOTDATA("EENS",EENS!$A$3,"model_type",Summary!N$23,"rho",Summary!$B24)</f>
        <v>0</v>
      </c>
    </row>
    <row r="25" spans="1:14" x14ac:dyDescent="0.25">
      <c r="A25" s="13"/>
      <c r="B25">
        <v>0.1</v>
      </c>
      <c r="C25" s="6">
        <f>GETPIVOTDATA("Sum of EOPEX",EOPEX!$N$4,"model_type",C$23,"rho",$B25)</f>
        <v>807863.58596770396</v>
      </c>
      <c r="D25" s="6">
        <f>GETPIVOTDATA("Sum of EOPEX",EOPEX!$N$4,"model_type",D$23,"rho",$B25)</f>
        <v>800160.24882748898</v>
      </c>
      <c r="E25" s="6">
        <f>GETPIVOTDATA("Sum of EOPEX",EOPEX!$N$4,"model_type",E$23,"rho",$B25)</f>
        <v>800079.35222445498</v>
      </c>
      <c r="F25" s="6">
        <f>GETPIVOTDATA("Sum of EOPEX",EOPEX!$N$4,"model_type",F$23,"rho",$B25)</f>
        <v>795440.87862226204</v>
      </c>
      <c r="G25" s="6">
        <f>GETPIVOTDATA("Sum of EENS_cost",EOPEX!$N$4,"model_type",G$23,"rho",$B25)</f>
        <v>0</v>
      </c>
      <c r="H25" s="6">
        <f>GETPIVOTDATA("Sum of EENS_cost",EOPEX!$N$4,"model_type",H$23,"rho",$B25)</f>
        <v>0</v>
      </c>
      <c r="I25" s="6">
        <f>GETPIVOTDATA("Sum of EENS_cost",EOPEX!$N$4,"model_type",I$23,"rho",$B25)</f>
        <v>0</v>
      </c>
      <c r="J25" s="6">
        <f>GETPIVOTDATA("Sum of EENS_cost",EOPEX!$N$4,"model_type",J$23,"rho",$B25)</f>
        <v>0</v>
      </c>
      <c r="K25">
        <f>GETPIVOTDATA("EENS",EENS!$A$3,"model_type",Summary!K$23,"rho",Summary!$B25)</f>
        <v>0</v>
      </c>
      <c r="L25">
        <f>GETPIVOTDATA("EENS",EENS!$A$3,"model_type",Summary!L$23,"rho",Summary!$B25)</f>
        <v>0</v>
      </c>
      <c r="M25">
        <f>GETPIVOTDATA("EENS",EENS!$A$3,"model_type",Summary!M$23,"rho",Summary!$B25)</f>
        <v>0</v>
      </c>
      <c r="N25">
        <f>GETPIVOTDATA("EENS",EENS!$A$3,"model_type",Summary!N$23,"rho",Summary!$B25)</f>
        <v>0</v>
      </c>
    </row>
    <row r="26" spans="1:14" x14ac:dyDescent="0.25">
      <c r="A26" s="13"/>
      <c r="B26">
        <v>0.2</v>
      </c>
      <c r="C26" s="6">
        <f>GETPIVOTDATA("Sum of EOPEX",EOPEX!$N$4,"model_type",C$23,"rho",$B26)</f>
        <v>811588.95739103295</v>
      </c>
      <c r="D26" s="6">
        <f>GETPIVOTDATA("Sum of EOPEX",EOPEX!$N$4,"model_type",D$23,"rho",$B26)</f>
        <v>800452.98394123395</v>
      </c>
      <c r="E26" s="6">
        <f>GETPIVOTDATA("Sum of EOPEX",EOPEX!$N$4,"model_type",E$23,"rho",$B26)</f>
        <v>800452.98394155898</v>
      </c>
      <c r="F26" s="6">
        <f>GETPIVOTDATA("Sum of EOPEX",EOPEX!$N$4,"model_type",F$23,"rho",$B26)</f>
        <v>796642.78684675996</v>
      </c>
      <c r="G26" s="6">
        <f>GETPIVOTDATA("Sum of EENS_cost",EOPEX!$N$4,"model_type",G$23,"rho",$B26)</f>
        <v>0</v>
      </c>
      <c r="H26" s="6">
        <f>GETPIVOTDATA("Sum of EENS_cost",EOPEX!$N$4,"model_type",H$23,"rho",$B26)</f>
        <v>6374.5723839761304</v>
      </c>
      <c r="I26" s="6">
        <f>GETPIVOTDATA("Sum of EENS_cost",EOPEX!$N$4,"model_type",I$23,"rho",$B26)</f>
        <v>0</v>
      </c>
      <c r="J26" s="6">
        <f>GETPIVOTDATA("Sum of EENS_cost",EOPEX!$N$4,"model_type",J$23,"rho",$B26)</f>
        <v>0</v>
      </c>
      <c r="K26">
        <f>GETPIVOTDATA("EENS",EENS!$A$3,"model_type",Summary!K$23,"rho",Summary!$B26)</f>
        <v>0</v>
      </c>
      <c r="L26">
        <f>GETPIVOTDATA("EENS",EENS!$A$3,"model_type",Summary!L$23,"rho",Summary!$B26)</f>
        <v>0.63745723839761304</v>
      </c>
      <c r="M26">
        <f>GETPIVOTDATA("EENS",EENS!$A$3,"model_type",Summary!M$23,"rho",Summary!$B26)</f>
        <v>0</v>
      </c>
      <c r="N26">
        <f>GETPIVOTDATA("EENS",EENS!$A$3,"model_type",Summary!N$23,"rho",Summary!$B26)</f>
        <v>0</v>
      </c>
    </row>
    <row r="27" spans="1:14" x14ac:dyDescent="0.25">
      <c r="A27" s="13"/>
      <c r="B27">
        <v>0.3</v>
      </c>
      <c r="C27" s="6">
        <f>GETPIVOTDATA("Sum of EOPEX",EOPEX!$N$4,"model_type",C$23,"rho",$B27)</f>
        <v>808877.04392315401</v>
      </c>
      <c r="D27" s="6">
        <f>GETPIVOTDATA("Sum of EOPEX",EOPEX!$N$4,"model_type",D$23,"rho",$B27)</f>
        <v>800411.43837708596</v>
      </c>
      <c r="E27" s="6">
        <f>GETPIVOTDATA("Sum of EOPEX",EOPEX!$N$4,"model_type",E$23,"rho",$B27)</f>
        <v>800411.43837196904</v>
      </c>
      <c r="F27" s="6">
        <f>GETPIVOTDATA("Sum of EOPEX",EOPEX!$N$4,"model_type",F$23,"rho",$B27)</f>
        <v>796530.57316235895</v>
      </c>
      <c r="G27" s="6">
        <f>GETPIVOTDATA("Sum of EENS_cost",EOPEX!$N$4,"model_type",G$23,"rho",$B27)</f>
        <v>0</v>
      </c>
      <c r="H27" s="6">
        <f>GETPIVOTDATA("Sum of EENS_cost",EOPEX!$N$4,"model_type",H$23,"rho",$B27)</f>
        <v>20217.440465076899</v>
      </c>
      <c r="I27" s="6">
        <f>GETPIVOTDATA("Sum of EENS_cost",EOPEX!$N$4,"model_type",I$23,"rho",$B27)</f>
        <v>0</v>
      </c>
      <c r="J27" s="6">
        <f>GETPIVOTDATA("Sum of EENS_cost",EOPEX!$N$4,"model_type",J$23,"rho",$B27)</f>
        <v>0</v>
      </c>
      <c r="K27">
        <f>GETPIVOTDATA("EENS",EENS!$A$3,"model_type",Summary!K$23,"rho",Summary!$B27)</f>
        <v>0</v>
      </c>
      <c r="L27">
        <f>GETPIVOTDATA("EENS",EENS!$A$3,"model_type",Summary!L$23,"rho",Summary!$B27)</f>
        <v>2.0217440465076901</v>
      </c>
      <c r="M27">
        <f>GETPIVOTDATA("EENS",EENS!$A$3,"model_type",Summary!M$23,"rho",Summary!$B27)</f>
        <v>0</v>
      </c>
      <c r="N27">
        <f>GETPIVOTDATA("EENS",EENS!$A$3,"model_type",Summary!N$23,"rho",Summary!$B27)</f>
        <v>0</v>
      </c>
    </row>
    <row r="28" spans="1:14" x14ac:dyDescent="0.25">
      <c r="A28" s="13"/>
      <c r="B28">
        <v>0.4</v>
      </c>
      <c r="C28" s="6">
        <f>GETPIVOTDATA("Sum of EOPEX",EOPEX!$N$4,"model_type",C$23,"rho",$B28)</f>
        <v>807195.25814658101</v>
      </c>
      <c r="D28" s="6">
        <f>GETPIVOTDATA("Sum of EOPEX",EOPEX!$N$4,"model_type",D$23,"rho",$B28)</f>
        <v>800162.66153856704</v>
      </c>
      <c r="E28" s="6">
        <f>GETPIVOTDATA("Sum of EOPEX",EOPEX!$N$4,"model_type",E$23,"rho",$B28)</f>
        <v>800162.66154064098</v>
      </c>
      <c r="F28" s="6">
        <f>GETPIVOTDATA("Sum of EOPEX",EOPEX!$N$4,"model_type",F$23,"rho",$B28)</f>
        <v>795701.56489834096</v>
      </c>
      <c r="G28" s="6">
        <f>GETPIVOTDATA("Sum of EENS_cost",EOPEX!$N$4,"model_type",G$23,"rho",$B28)</f>
        <v>0</v>
      </c>
      <c r="H28" s="6">
        <f>GETPIVOTDATA("Sum of EENS_cost",EOPEX!$N$4,"model_type",H$23,"rho",$B28)</f>
        <v>0</v>
      </c>
      <c r="I28" s="6">
        <f>GETPIVOTDATA("Sum of EENS_cost",EOPEX!$N$4,"model_type",I$23,"rho",$B28)</f>
        <v>0</v>
      </c>
      <c r="J28" s="6">
        <f>GETPIVOTDATA("Sum of EENS_cost",EOPEX!$N$4,"model_type",J$23,"rho",$B28)</f>
        <v>0</v>
      </c>
      <c r="K28">
        <f>GETPIVOTDATA("EENS",EENS!$A$3,"model_type",Summary!K$23,"rho",Summary!$B28)</f>
        <v>0</v>
      </c>
      <c r="L28">
        <f>GETPIVOTDATA("EENS",EENS!$A$3,"model_type",Summary!L$23,"rho",Summary!$B28)</f>
        <v>0</v>
      </c>
      <c r="M28">
        <f>GETPIVOTDATA("EENS",EENS!$A$3,"model_type",Summary!M$23,"rho",Summary!$B28)</f>
        <v>0</v>
      </c>
      <c r="N28">
        <f>GETPIVOTDATA("EENS",EENS!$A$3,"model_type",Summary!N$23,"rho",Summary!$B28)</f>
        <v>0</v>
      </c>
    </row>
    <row r="29" spans="1:14" x14ac:dyDescent="0.25">
      <c r="A29" s="13"/>
      <c r="B29">
        <v>0.5</v>
      </c>
      <c r="C29" s="6">
        <f>GETPIVOTDATA("Sum of EOPEX",EOPEX!$N$4,"model_type",C$23,"rho",$B29)</f>
        <v>814114.00134716299</v>
      </c>
      <c r="D29" s="6">
        <f>GETPIVOTDATA("Sum of EOPEX",EOPEX!$N$4,"model_type",D$23,"rho",$B29)</f>
        <v>800062.58746658196</v>
      </c>
      <c r="E29" s="6">
        <f>GETPIVOTDATA("Sum of EOPEX",EOPEX!$N$4,"model_type",E$23,"rho",$B29)</f>
        <v>800062.58745782904</v>
      </c>
      <c r="F29" s="6">
        <f>GETPIVOTDATA("Sum of EOPEX",EOPEX!$N$4,"model_type",F$23,"rho",$B29)</f>
        <v>795008.51956981199</v>
      </c>
      <c r="G29" s="6">
        <f>GETPIVOTDATA("Sum of EENS_cost",EOPEX!$N$4,"model_type",G$23,"rho",$B29)</f>
        <v>0</v>
      </c>
      <c r="H29" s="6">
        <f>GETPIVOTDATA("Sum of EENS_cost",EOPEX!$N$4,"model_type",H$23,"rho",$B29)</f>
        <v>0</v>
      </c>
      <c r="I29" s="6">
        <f>GETPIVOTDATA("Sum of EENS_cost",EOPEX!$N$4,"model_type",I$23,"rho",$B29)</f>
        <v>0</v>
      </c>
      <c r="J29" s="6">
        <f>GETPIVOTDATA("Sum of EENS_cost",EOPEX!$N$4,"model_type",J$23,"rho",$B29)</f>
        <v>0</v>
      </c>
      <c r="K29">
        <f>GETPIVOTDATA("EENS",EENS!$A$3,"model_type",Summary!K$23,"rho",Summary!$B29)</f>
        <v>0</v>
      </c>
      <c r="L29">
        <f>GETPIVOTDATA("EENS",EENS!$A$3,"model_type",Summary!L$23,"rho",Summary!$B29)</f>
        <v>0</v>
      </c>
      <c r="M29">
        <f>GETPIVOTDATA("EENS",EENS!$A$3,"model_type",Summary!M$23,"rho",Summary!$B29)</f>
        <v>0</v>
      </c>
      <c r="N29">
        <f>GETPIVOTDATA("EENS",EENS!$A$3,"model_type",Summary!N$23,"rho",Summary!$B29)</f>
        <v>0</v>
      </c>
    </row>
    <row r="30" spans="1:14" x14ac:dyDescent="0.25">
      <c r="A30" s="13"/>
      <c r="B30">
        <v>0.6</v>
      </c>
      <c r="C30" s="6">
        <f>GETPIVOTDATA("Sum of EOPEX",EOPEX!$N$4,"model_type",C$23,"rho",$B30)</f>
        <v>810987.908623514</v>
      </c>
      <c r="D30" s="6">
        <f>GETPIVOTDATA("Sum of EOPEX",EOPEX!$N$4,"model_type",D$23,"rho",$B30)</f>
        <v>800598.88951088605</v>
      </c>
      <c r="E30" s="6">
        <f>GETPIVOTDATA("Sum of EOPEX",EOPEX!$N$4,"model_type",E$23,"rho",$B30)</f>
        <v>802691.45866308804</v>
      </c>
      <c r="F30" s="6">
        <f>GETPIVOTDATA("Sum of EOPEX",EOPEX!$N$4,"model_type",F$23,"rho",$B30)</f>
        <v>796231.62824480399</v>
      </c>
      <c r="G30" s="6">
        <f>GETPIVOTDATA("Sum of EENS_cost",EOPEX!$N$4,"model_type",G$23,"rho",$B30)</f>
        <v>0</v>
      </c>
      <c r="H30" s="6">
        <f>GETPIVOTDATA("Sum of EENS_cost",EOPEX!$N$4,"model_type",H$23,"rho",$B30)</f>
        <v>0</v>
      </c>
      <c r="I30" s="6">
        <f>GETPIVOTDATA("Sum of EENS_cost",EOPEX!$N$4,"model_type",I$23,"rho",$B30)</f>
        <v>0</v>
      </c>
      <c r="J30" s="6">
        <f>GETPIVOTDATA("Sum of EENS_cost",EOPEX!$N$4,"model_type",J$23,"rho",$B30)</f>
        <v>0</v>
      </c>
      <c r="K30">
        <f>GETPIVOTDATA("EENS",EENS!$A$3,"model_type",Summary!K$23,"rho",Summary!$B30)</f>
        <v>0</v>
      </c>
      <c r="L30">
        <f>GETPIVOTDATA("EENS",EENS!$A$3,"model_type",Summary!L$23,"rho",Summary!$B30)</f>
        <v>0</v>
      </c>
      <c r="M30">
        <f>GETPIVOTDATA("EENS",EENS!$A$3,"model_type",Summary!M$23,"rho",Summary!$B30)</f>
        <v>0</v>
      </c>
      <c r="N30">
        <f>GETPIVOTDATA("EENS",EENS!$A$3,"model_type",Summary!N$23,"rho",Summary!$B30)</f>
        <v>0</v>
      </c>
    </row>
    <row r="31" spans="1:14" x14ac:dyDescent="0.25">
      <c r="A31" s="13"/>
      <c r="B31">
        <v>0.7</v>
      </c>
      <c r="C31" s="6">
        <f>GETPIVOTDATA("Sum of EOPEX",EOPEX!$N$4,"model_type",C$23,"rho",$B31)</f>
        <v>807595.43576530798</v>
      </c>
      <c r="D31" s="6">
        <f>GETPIVOTDATA("Sum of EOPEX",EOPEX!$N$4,"model_type",D$23,"rho",$B31)</f>
        <v>802775.11098748702</v>
      </c>
      <c r="E31" s="6">
        <f>GETPIVOTDATA("Sum of EOPEX",EOPEX!$N$4,"model_type",E$23,"rho",$B31)</f>
        <v>803581.04312351195</v>
      </c>
      <c r="F31" s="6">
        <f>GETPIVOTDATA("Sum of EOPEX",EOPEX!$N$4,"model_type",F$23,"rho",$B31)</f>
        <v>795787.74027260696</v>
      </c>
      <c r="G31" s="6">
        <f>GETPIVOTDATA("Sum of EENS_cost",EOPEX!$N$4,"model_type",G$23,"rho",$B31)</f>
        <v>0</v>
      </c>
      <c r="H31" s="6">
        <f>GETPIVOTDATA("Sum of EENS_cost",EOPEX!$N$4,"model_type",H$23,"rho",$B31)</f>
        <v>0</v>
      </c>
      <c r="I31" s="6">
        <f>GETPIVOTDATA("Sum of EENS_cost",EOPEX!$N$4,"model_type",I$23,"rho",$B31)</f>
        <v>0</v>
      </c>
      <c r="J31" s="6">
        <f>GETPIVOTDATA("Sum of EENS_cost",EOPEX!$N$4,"model_type",J$23,"rho",$B31)</f>
        <v>0</v>
      </c>
      <c r="K31">
        <f>GETPIVOTDATA("EENS",EENS!$A$3,"model_type",Summary!K$23,"rho",Summary!$B31)</f>
        <v>0</v>
      </c>
      <c r="L31">
        <f>GETPIVOTDATA("EENS",EENS!$A$3,"model_type",Summary!L$23,"rho",Summary!$B31)</f>
        <v>0</v>
      </c>
      <c r="M31">
        <f>GETPIVOTDATA("EENS",EENS!$A$3,"model_type",Summary!M$23,"rho",Summary!$B31)</f>
        <v>0</v>
      </c>
      <c r="N31">
        <f>GETPIVOTDATA("EENS",EENS!$A$3,"model_type",Summary!N$23,"rho",Summary!$B31)</f>
        <v>0</v>
      </c>
    </row>
    <row r="32" spans="1:14" x14ac:dyDescent="0.25">
      <c r="A32" s="13"/>
      <c r="B32">
        <v>0.8</v>
      </c>
      <c r="C32" s="6">
        <f>GETPIVOTDATA("Sum of EOPEX",EOPEX!$N$4,"model_type",C$23,"rho",$B32)</f>
        <v>807664.97473749495</v>
      </c>
      <c r="D32" s="6">
        <f>GETPIVOTDATA("Sum of EOPEX",EOPEX!$N$4,"model_type",D$23,"rho",$B32)</f>
        <v>804182.05087088596</v>
      </c>
      <c r="E32" s="6">
        <f>GETPIVOTDATA("Sum of EOPEX",EOPEX!$N$4,"model_type",E$23,"rho",$B32)</f>
        <v>805872.16387087305</v>
      </c>
      <c r="F32" s="6">
        <f>GETPIVOTDATA("Sum of EOPEX",EOPEX!$N$4,"model_type",F$23,"rho",$B32)</f>
        <v>796267.35304154095</v>
      </c>
      <c r="G32" s="6">
        <f>GETPIVOTDATA("Sum of EENS_cost",EOPEX!$N$4,"model_type",G$23,"rho",$B32)</f>
        <v>0</v>
      </c>
      <c r="H32" s="6">
        <f>GETPIVOTDATA("Sum of EENS_cost",EOPEX!$N$4,"model_type",H$23,"rho",$B32)</f>
        <v>0</v>
      </c>
      <c r="I32" s="6">
        <f>GETPIVOTDATA("Sum of EENS_cost",EOPEX!$N$4,"model_type",I$23,"rho",$B32)</f>
        <v>0</v>
      </c>
      <c r="J32" s="6">
        <f>GETPIVOTDATA("Sum of EENS_cost",EOPEX!$N$4,"model_type",J$23,"rho",$B32)</f>
        <v>0</v>
      </c>
      <c r="K32">
        <f>GETPIVOTDATA("EENS",EENS!$A$3,"model_type",Summary!K$23,"rho",Summary!$B32)</f>
        <v>0</v>
      </c>
      <c r="L32">
        <f>GETPIVOTDATA("EENS",EENS!$A$3,"model_type",Summary!L$23,"rho",Summary!$B32)</f>
        <v>0</v>
      </c>
      <c r="M32">
        <f>GETPIVOTDATA("EENS",EENS!$A$3,"model_type",Summary!M$23,"rho",Summary!$B32)</f>
        <v>0</v>
      </c>
      <c r="N32">
        <f>GETPIVOTDATA("EENS",EENS!$A$3,"model_type",Summary!N$23,"rho",Summary!$B32)</f>
        <v>0</v>
      </c>
    </row>
    <row r="33" spans="1:14" x14ac:dyDescent="0.25">
      <c r="A33" s="13"/>
      <c r="B33">
        <v>0.9</v>
      </c>
      <c r="C33" s="6">
        <f>GETPIVOTDATA("Sum of EOPEX",EOPEX!$N$4,"model_type",C$23,"rho",$B33)</f>
        <v>813620.17984197196</v>
      </c>
      <c r="D33" s="6">
        <f>GETPIVOTDATA("Sum of EOPEX",EOPEX!$N$4,"model_type",D$23,"rho",$B33)</f>
        <v>805560.34009892598</v>
      </c>
      <c r="E33" s="6">
        <f>GETPIVOTDATA("Sum of EOPEX",EOPEX!$N$4,"model_type",E$23,"rho",$B33)</f>
        <v>805930.40263111203</v>
      </c>
      <c r="F33" s="6">
        <f>GETPIVOTDATA("Sum of EOPEX",EOPEX!$N$4,"model_type",F$23,"rho",$B33)</f>
        <v>798514.00492756197</v>
      </c>
      <c r="G33" s="6">
        <f>GETPIVOTDATA("Sum of EENS_cost",EOPEX!$N$4,"model_type",G$23,"rho",$B33)</f>
        <v>0</v>
      </c>
      <c r="H33" s="6">
        <f>GETPIVOTDATA("Sum of EENS_cost",EOPEX!$N$4,"model_type",H$23,"rho",$B33)</f>
        <v>0</v>
      </c>
      <c r="I33" s="6">
        <f>GETPIVOTDATA("Sum of EENS_cost",EOPEX!$N$4,"model_type",I$23,"rho",$B33)</f>
        <v>0</v>
      </c>
      <c r="J33" s="6">
        <f>GETPIVOTDATA("Sum of EENS_cost",EOPEX!$N$4,"model_type",J$23,"rho",$B33)</f>
        <v>0</v>
      </c>
      <c r="K33">
        <f>GETPIVOTDATA("EENS",EENS!$A$3,"model_type",Summary!K$23,"rho",Summary!$B33)</f>
        <v>0</v>
      </c>
      <c r="L33">
        <f>GETPIVOTDATA("EENS",EENS!$A$3,"model_type",Summary!L$23,"rho",Summary!$B33)</f>
        <v>0</v>
      </c>
      <c r="M33">
        <f>GETPIVOTDATA("EENS",EENS!$A$3,"model_type",Summary!M$23,"rho",Summary!$B33)</f>
        <v>0</v>
      </c>
      <c r="N33">
        <f>GETPIVOTDATA("EENS",EENS!$A$3,"model_type",Summary!N$23,"rho",Summary!$B33)</f>
        <v>0</v>
      </c>
    </row>
    <row r="34" spans="1:14" x14ac:dyDescent="0.25">
      <c r="A34" s="13"/>
      <c r="B34">
        <v>0.99</v>
      </c>
      <c r="C34" s="6">
        <f>GETPIVOTDATA("Sum of EOPEX",EOPEX!$N$4,"model_type",C$23,"rho",$B34)</f>
        <v>805431.84467422101</v>
      </c>
      <c r="D34" s="6">
        <f>GETPIVOTDATA("Sum of EOPEX",EOPEX!$N$4,"model_type",D$23,"rho",$B34)</f>
        <v>805351.03554833797</v>
      </c>
      <c r="E34" s="6">
        <f>GETPIVOTDATA("Sum of EOPEX",EOPEX!$N$4,"model_type",E$23,"rho",$B34)</f>
        <v>805380.27267785801</v>
      </c>
      <c r="F34" s="6">
        <f>GETPIVOTDATA("Sum of EOPEX",EOPEX!$N$4,"model_type",F$23,"rho",$B34)</f>
        <v>800265.81499332399</v>
      </c>
      <c r="G34" s="6">
        <f>GETPIVOTDATA("Sum of EENS_cost",EOPEX!$N$4,"model_type",G$23,"rho",$B34)</f>
        <v>0</v>
      </c>
      <c r="H34" s="6">
        <f>GETPIVOTDATA("Sum of EENS_cost",EOPEX!$N$4,"model_type",H$23,"rho",$B34)</f>
        <v>6240.7091142769405</v>
      </c>
      <c r="I34" s="6">
        <f>GETPIVOTDATA("Sum of EENS_cost",EOPEX!$N$4,"model_type",I$23,"rho",$B34)</f>
        <v>0</v>
      </c>
      <c r="J34" s="6">
        <f>GETPIVOTDATA("Sum of EENS_cost",EOPEX!$N$4,"model_type",J$23,"rho",$B34)</f>
        <v>0</v>
      </c>
      <c r="K34">
        <f>GETPIVOTDATA("EENS",EENS!$A$3,"model_type",Summary!K$23,"rho",Summary!$B34)</f>
        <v>0</v>
      </c>
      <c r="L34">
        <f>GETPIVOTDATA("EENS",EENS!$A$3,"model_type",Summary!L$23,"rho",Summary!$B34)</f>
        <v>0.624070911427694</v>
      </c>
      <c r="M34">
        <f>GETPIVOTDATA("EENS",EENS!$A$3,"model_type",Summary!M$23,"rho",Summary!$B34)</f>
        <v>0</v>
      </c>
      <c r="N34">
        <f>GETPIVOTDATA("EENS",EENS!$A$3,"model_type",Summary!N$23,"rho",Summary!$B34)</f>
        <v>0</v>
      </c>
    </row>
    <row r="35" spans="1:14" x14ac:dyDescent="0.25">
      <c r="A35" s="13"/>
    </row>
    <row r="38" spans="1:14" x14ac:dyDescent="0.25">
      <c r="C38" s="14" t="s">
        <v>106</v>
      </c>
      <c r="D38" s="14"/>
      <c r="E38" s="14"/>
      <c r="F38" s="14"/>
      <c r="G38" t="s">
        <v>107</v>
      </c>
      <c r="H38" t="s">
        <v>105</v>
      </c>
    </row>
    <row r="39" spans="1:14" x14ac:dyDescent="0.25">
      <c r="B39" t="s">
        <v>108</v>
      </c>
      <c r="C39" t="s">
        <v>64</v>
      </c>
      <c r="D39" t="s">
        <v>26</v>
      </c>
      <c r="E39" t="s">
        <v>47</v>
      </c>
      <c r="F39" t="s">
        <v>63</v>
      </c>
      <c r="G39" t="s">
        <v>26</v>
      </c>
      <c r="H39" t="s">
        <v>26</v>
      </c>
    </row>
    <row r="40" spans="1:14" x14ac:dyDescent="0.25">
      <c r="B40">
        <v>0</v>
      </c>
      <c r="C40" s="6">
        <f>GETPIVOTDATA("Sum of EOPEX",EOPEX!$N$4,"model_type",C$23,"rho",$B40)</f>
        <v>808058.20521904796</v>
      </c>
      <c r="D40" s="6">
        <f>GETPIVOTDATA("Sum of EOPEX",EOPEX!$N$4,"model_type",D$23,"rho",$B40)</f>
        <v>800627.12557306699</v>
      </c>
      <c r="E40" s="6">
        <f>GETPIVOTDATA("Sum of EOPEX",EOPEX!$N$4,"model_type",E$23,"rho",$B40)</f>
        <v>800627.08243458695</v>
      </c>
      <c r="F40" s="6">
        <f>GETPIVOTDATA("Sum of EOPEX",EOPEX!$N$4,"model_type",F$23,"rho",$B40)</f>
        <v>796469.72021323501</v>
      </c>
      <c r="G40" s="6">
        <f>GETPIVOTDATA("Sum of EENS_cost",EOPEX!$N$4,"model_type",H$23,"rho",$B40)</f>
        <v>0</v>
      </c>
      <c r="H40">
        <f>GETPIVOTDATA("EENS",EENS!$A$3,"model_type",Summary!L$23,"rho",Summary!$B40)</f>
        <v>0</v>
      </c>
      <c r="I40" s="6"/>
      <c r="J40" s="6"/>
    </row>
    <row r="41" spans="1:14" x14ac:dyDescent="0.25">
      <c r="B41">
        <v>0.1</v>
      </c>
      <c r="C41" s="6">
        <f>GETPIVOTDATA("Sum of EOPEX",EOPEX!$N$4,"model_type",C$23,"rho",$B41)</f>
        <v>807863.58596770396</v>
      </c>
      <c r="D41" s="6">
        <f>GETPIVOTDATA("Sum of EOPEX",EOPEX!$N$4,"model_type",D$23,"rho",$B41)</f>
        <v>800160.24882748898</v>
      </c>
      <c r="E41" s="6">
        <f>GETPIVOTDATA("Sum of EOPEX",EOPEX!$N$4,"model_type",E$23,"rho",$B41)</f>
        <v>800079.35222445498</v>
      </c>
      <c r="F41" s="6">
        <f>GETPIVOTDATA("Sum of EOPEX",EOPEX!$N$4,"model_type",F$23,"rho",$B41)</f>
        <v>795440.87862226204</v>
      </c>
      <c r="G41" s="6">
        <f>GETPIVOTDATA("Sum of EENS_cost",EOPEX!$N$4,"model_type",H$23,"rho",$B41)</f>
        <v>0</v>
      </c>
      <c r="H41">
        <f>GETPIVOTDATA("EENS",EENS!$A$3,"model_type",Summary!L$23,"rho",Summary!$B41)</f>
        <v>0</v>
      </c>
      <c r="I41" s="6"/>
      <c r="J41" s="6"/>
    </row>
    <row r="42" spans="1:14" x14ac:dyDescent="0.25">
      <c r="B42">
        <v>0.2</v>
      </c>
      <c r="C42" s="6">
        <f>GETPIVOTDATA("Sum of EOPEX",EOPEX!$N$4,"model_type",C$23,"rho",$B42)</f>
        <v>811588.95739103295</v>
      </c>
      <c r="D42" s="6">
        <f>GETPIVOTDATA("Sum of EOPEX",EOPEX!$N$4,"model_type",D$23,"rho",$B42)</f>
        <v>800452.98394123395</v>
      </c>
      <c r="E42" s="6">
        <f>GETPIVOTDATA("Sum of EOPEX",EOPEX!$N$4,"model_type",E$23,"rho",$B42)</f>
        <v>800452.98394155898</v>
      </c>
      <c r="F42" s="6">
        <f>GETPIVOTDATA("Sum of EOPEX",EOPEX!$N$4,"model_type",F$23,"rho",$B42)</f>
        <v>796642.78684675996</v>
      </c>
      <c r="G42" s="6">
        <f>GETPIVOTDATA("Sum of EENS_cost",EOPEX!$N$4,"model_type",H$23,"rho",$B42)</f>
        <v>6374.5723839761304</v>
      </c>
      <c r="H42">
        <f>GETPIVOTDATA("EENS",EENS!$A$3,"model_type",Summary!L$23,"rho",Summary!$B42)</f>
        <v>0.63745723839761304</v>
      </c>
      <c r="I42" s="6"/>
      <c r="J42" s="6"/>
    </row>
    <row r="43" spans="1:14" x14ac:dyDescent="0.25">
      <c r="B43">
        <v>0.3</v>
      </c>
      <c r="C43" s="6">
        <f>GETPIVOTDATA("Sum of EOPEX",EOPEX!$N$4,"model_type",C$23,"rho",$B43)</f>
        <v>808877.04392315401</v>
      </c>
      <c r="D43" s="6">
        <f>GETPIVOTDATA("Sum of EOPEX",EOPEX!$N$4,"model_type",D$23,"rho",$B43)</f>
        <v>800411.43837708596</v>
      </c>
      <c r="E43" s="6">
        <f>GETPIVOTDATA("Sum of EOPEX",EOPEX!$N$4,"model_type",E$23,"rho",$B43)</f>
        <v>800411.43837196904</v>
      </c>
      <c r="F43" s="6">
        <f>GETPIVOTDATA("Sum of EOPEX",EOPEX!$N$4,"model_type",F$23,"rho",$B43)</f>
        <v>796530.57316235895</v>
      </c>
      <c r="G43" s="6">
        <f>GETPIVOTDATA("Sum of EENS_cost",EOPEX!$N$4,"model_type",H$23,"rho",$B43)</f>
        <v>20217.440465076899</v>
      </c>
      <c r="H43">
        <f>GETPIVOTDATA("EENS",EENS!$A$3,"model_type",Summary!L$23,"rho",Summary!$B43)</f>
        <v>2.0217440465076901</v>
      </c>
      <c r="I43" s="6"/>
      <c r="J43" s="6"/>
    </row>
    <row r="44" spans="1:14" x14ac:dyDescent="0.25">
      <c r="B44">
        <v>0.4</v>
      </c>
      <c r="C44" s="6">
        <f>GETPIVOTDATA("Sum of EOPEX",EOPEX!$N$4,"model_type",C$23,"rho",$B44)</f>
        <v>807195.25814658101</v>
      </c>
      <c r="D44" s="6">
        <f>GETPIVOTDATA("Sum of EOPEX",EOPEX!$N$4,"model_type",D$23,"rho",$B44)</f>
        <v>800162.66153856704</v>
      </c>
      <c r="E44" s="6">
        <f>GETPIVOTDATA("Sum of EOPEX",EOPEX!$N$4,"model_type",E$23,"rho",$B44)</f>
        <v>800162.66154064098</v>
      </c>
      <c r="F44" s="6">
        <f>GETPIVOTDATA("Sum of EOPEX",EOPEX!$N$4,"model_type",F$23,"rho",$B44)</f>
        <v>795701.56489834096</v>
      </c>
      <c r="G44" s="6">
        <f>GETPIVOTDATA("Sum of EENS_cost",EOPEX!$N$4,"model_type",H$23,"rho",$B44)</f>
        <v>0</v>
      </c>
      <c r="H44">
        <f>GETPIVOTDATA("EENS",EENS!$A$3,"model_type",Summary!L$23,"rho",Summary!$B44)</f>
        <v>0</v>
      </c>
      <c r="I44" s="6"/>
      <c r="J44" s="6"/>
    </row>
    <row r="45" spans="1:14" x14ac:dyDescent="0.25">
      <c r="B45">
        <v>0.5</v>
      </c>
      <c r="C45" s="6">
        <f>GETPIVOTDATA("Sum of EOPEX",EOPEX!$N$4,"model_type",C$23,"rho",$B45)</f>
        <v>814114.00134716299</v>
      </c>
      <c r="D45" s="6">
        <f>GETPIVOTDATA("Sum of EOPEX",EOPEX!$N$4,"model_type",D$23,"rho",$B45)</f>
        <v>800062.58746658196</v>
      </c>
      <c r="E45" s="6">
        <f>GETPIVOTDATA("Sum of EOPEX",EOPEX!$N$4,"model_type",E$23,"rho",$B45)</f>
        <v>800062.58745782904</v>
      </c>
      <c r="F45" s="6">
        <f>GETPIVOTDATA("Sum of EOPEX",EOPEX!$N$4,"model_type",F$23,"rho",$B45)</f>
        <v>795008.51956981199</v>
      </c>
      <c r="G45" s="6">
        <f>GETPIVOTDATA("Sum of EENS_cost",EOPEX!$N$4,"model_type",H$23,"rho",$B45)</f>
        <v>0</v>
      </c>
      <c r="H45">
        <f>GETPIVOTDATA("EENS",EENS!$A$3,"model_type",Summary!L$23,"rho",Summary!$B45)</f>
        <v>0</v>
      </c>
      <c r="I45" s="6"/>
      <c r="J45" s="6"/>
    </row>
    <row r="46" spans="1:14" x14ac:dyDescent="0.25">
      <c r="B46">
        <v>0.6</v>
      </c>
      <c r="C46" s="6">
        <f>GETPIVOTDATA("Sum of EOPEX",EOPEX!$N$4,"model_type",C$23,"rho",$B46)</f>
        <v>810987.908623514</v>
      </c>
      <c r="D46" s="6">
        <f>GETPIVOTDATA("Sum of EOPEX",EOPEX!$N$4,"model_type",D$23,"rho",$B46)</f>
        <v>800598.88951088605</v>
      </c>
      <c r="E46" s="6">
        <f>GETPIVOTDATA("Sum of EOPEX",EOPEX!$N$4,"model_type",E$23,"rho",$B46)</f>
        <v>802691.45866308804</v>
      </c>
      <c r="F46" s="6">
        <f>GETPIVOTDATA("Sum of EOPEX",EOPEX!$N$4,"model_type",F$23,"rho",$B46)</f>
        <v>796231.62824480399</v>
      </c>
      <c r="G46" s="6">
        <f>GETPIVOTDATA("Sum of EENS_cost",EOPEX!$N$4,"model_type",H$23,"rho",$B46)</f>
        <v>0</v>
      </c>
      <c r="H46">
        <f>GETPIVOTDATA("EENS",EENS!$A$3,"model_type",Summary!L$23,"rho",Summary!$B46)</f>
        <v>0</v>
      </c>
      <c r="I46" s="6"/>
      <c r="J46" s="6"/>
    </row>
    <row r="47" spans="1:14" x14ac:dyDescent="0.25">
      <c r="B47">
        <v>0.7</v>
      </c>
      <c r="C47" s="6">
        <f>GETPIVOTDATA("Sum of EOPEX",EOPEX!$N$4,"model_type",C$23,"rho",$B47)</f>
        <v>807595.43576530798</v>
      </c>
      <c r="D47" s="6">
        <f>GETPIVOTDATA("Sum of EOPEX",EOPEX!$N$4,"model_type",D$23,"rho",$B47)</f>
        <v>802775.11098748702</v>
      </c>
      <c r="E47" s="6">
        <f>GETPIVOTDATA("Sum of EOPEX",EOPEX!$N$4,"model_type",E$23,"rho",$B47)</f>
        <v>803581.04312351195</v>
      </c>
      <c r="F47" s="6">
        <f>GETPIVOTDATA("Sum of EOPEX",EOPEX!$N$4,"model_type",F$23,"rho",$B47)</f>
        <v>795787.74027260696</v>
      </c>
      <c r="G47" s="6">
        <f>GETPIVOTDATA("Sum of EENS_cost",EOPEX!$N$4,"model_type",H$23,"rho",$B47)</f>
        <v>0</v>
      </c>
      <c r="H47">
        <f>GETPIVOTDATA("EENS",EENS!$A$3,"model_type",Summary!L$23,"rho",Summary!$B47)</f>
        <v>0</v>
      </c>
      <c r="I47" s="6"/>
      <c r="J47" s="6"/>
    </row>
    <row r="48" spans="1:14" x14ac:dyDescent="0.25">
      <c r="B48">
        <v>0.8</v>
      </c>
      <c r="C48" s="6">
        <f>GETPIVOTDATA("Sum of EOPEX",EOPEX!$N$4,"model_type",C$23,"rho",$B48)</f>
        <v>807664.97473749495</v>
      </c>
      <c r="D48" s="6">
        <f>GETPIVOTDATA("Sum of EOPEX",EOPEX!$N$4,"model_type",D$23,"rho",$B48)</f>
        <v>804182.05087088596</v>
      </c>
      <c r="E48" s="6">
        <f>GETPIVOTDATA("Sum of EOPEX",EOPEX!$N$4,"model_type",E$23,"rho",$B48)</f>
        <v>805872.16387087305</v>
      </c>
      <c r="F48" s="6">
        <f>GETPIVOTDATA("Sum of EOPEX",EOPEX!$N$4,"model_type",F$23,"rho",$B48)</f>
        <v>796267.35304154095</v>
      </c>
      <c r="G48" s="6">
        <f>GETPIVOTDATA("Sum of EENS_cost",EOPEX!$N$4,"model_type",H$23,"rho",$B48)</f>
        <v>0</v>
      </c>
      <c r="H48">
        <f>GETPIVOTDATA("EENS",EENS!$A$3,"model_type",Summary!L$23,"rho",Summary!$B48)</f>
        <v>0</v>
      </c>
      <c r="I48" s="6"/>
      <c r="J48" s="6"/>
    </row>
    <row r="49" spans="2:10" x14ac:dyDescent="0.25">
      <c r="B49">
        <v>0.9</v>
      </c>
      <c r="C49" s="6">
        <f>GETPIVOTDATA("Sum of EOPEX",EOPEX!$N$4,"model_type",C$23,"rho",$B49)</f>
        <v>813620.17984197196</v>
      </c>
      <c r="D49" s="6">
        <f>GETPIVOTDATA("Sum of EOPEX",EOPEX!$N$4,"model_type",D$23,"rho",$B49)</f>
        <v>805560.34009892598</v>
      </c>
      <c r="E49" s="6">
        <f>GETPIVOTDATA("Sum of EOPEX",EOPEX!$N$4,"model_type",E$23,"rho",$B49)</f>
        <v>805930.40263111203</v>
      </c>
      <c r="F49" s="6">
        <f>GETPIVOTDATA("Sum of EOPEX",EOPEX!$N$4,"model_type",F$23,"rho",$B49)</f>
        <v>798514.00492756197</v>
      </c>
      <c r="G49" s="6">
        <f>GETPIVOTDATA("Sum of EENS_cost",EOPEX!$N$4,"model_type",H$23,"rho",$B49)</f>
        <v>0</v>
      </c>
      <c r="H49">
        <f>GETPIVOTDATA("EENS",EENS!$A$3,"model_type",Summary!L$23,"rho",Summary!$B49)</f>
        <v>0</v>
      </c>
      <c r="I49" s="6"/>
      <c r="J49" s="6"/>
    </row>
    <row r="50" spans="2:10" x14ac:dyDescent="0.25">
      <c r="B50">
        <v>0.99</v>
      </c>
      <c r="C50" s="6">
        <f>GETPIVOTDATA("Sum of EOPEX",EOPEX!$N$4,"model_type",C$23,"rho",$B50)</f>
        <v>805431.84467422101</v>
      </c>
      <c r="D50" s="6">
        <f>GETPIVOTDATA("Sum of EOPEX",EOPEX!$N$4,"model_type",D$23,"rho",$B50)</f>
        <v>805351.03554833797</v>
      </c>
      <c r="E50" s="6">
        <f>GETPIVOTDATA("Sum of EOPEX",EOPEX!$N$4,"model_type",E$23,"rho",$B50)</f>
        <v>805380.27267785801</v>
      </c>
      <c r="F50" s="6">
        <f>GETPIVOTDATA("Sum of EOPEX",EOPEX!$N$4,"model_type",F$23,"rho",$B50)</f>
        <v>800265.81499332399</v>
      </c>
      <c r="G50" s="6">
        <f>GETPIVOTDATA("Sum of EENS_cost",EOPEX!$N$4,"model_type",H$23,"rho",$B50)</f>
        <v>6240.7091142769405</v>
      </c>
      <c r="H50">
        <f>GETPIVOTDATA("EENS",EENS!$A$3,"model_type",Summary!L$23,"rho",Summary!$B50)</f>
        <v>0.624070911427694</v>
      </c>
      <c r="I50" s="6"/>
      <c r="J50" s="6"/>
    </row>
    <row r="52" spans="2:10" x14ac:dyDescent="0.25">
      <c r="C52" s="14" t="s">
        <v>106</v>
      </c>
      <c r="D52" s="14"/>
      <c r="E52" s="14"/>
      <c r="F52" s="14"/>
      <c r="G52" t="s">
        <v>107</v>
      </c>
      <c r="H52" t="s">
        <v>105</v>
      </c>
    </row>
    <row r="53" spans="2:10" x14ac:dyDescent="0.25">
      <c r="B53" t="s">
        <v>108</v>
      </c>
      <c r="C53" t="s">
        <v>64</v>
      </c>
      <c r="D53" t="s">
        <v>26</v>
      </c>
      <c r="E53" t="s">
        <v>47</v>
      </c>
      <c r="F53" t="s">
        <v>63</v>
      </c>
      <c r="G53" t="s">
        <v>26</v>
      </c>
      <c r="H53" t="s">
        <v>26</v>
      </c>
    </row>
    <row r="54" spans="2:10" x14ac:dyDescent="0.25">
      <c r="B54">
        <v>0</v>
      </c>
      <c r="C54" s="6">
        <v>808058.20521904796</v>
      </c>
      <c r="D54" s="6">
        <v>800627.12557306699</v>
      </c>
      <c r="E54" s="6">
        <v>800627.08243458695</v>
      </c>
      <c r="F54" s="6">
        <v>796469.72021323501</v>
      </c>
      <c r="G54" s="6">
        <v>0</v>
      </c>
      <c r="H54" s="5">
        <v>0</v>
      </c>
    </row>
    <row r="55" spans="2:10" x14ac:dyDescent="0.25">
      <c r="B55">
        <v>0.1</v>
      </c>
      <c r="C55" s="6">
        <v>807863.58596770396</v>
      </c>
      <c r="D55" s="6">
        <v>800160.24882748898</v>
      </c>
      <c r="E55" s="6">
        <v>800079.35222445498</v>
      </c>
      <c r="F55" s="6">
        <v>795440.87862226204</v>
      </c>
      <c r="G55" s="6">
        <v>0</v>
      </c>
      <c r="H55" s="5">
        <v>0</v>
      </c>
    </row>
    <row r="56" spans="2:10" x14ac:dyDescent="0.25">
      <c r="B56">
        <v>0.2</v>
      </c>
      <c r="C56" s="6">
        <v>811588.95739103295</v>
      </c>
      <c r="D56" s="6">
        <v>800452.98394123395</v>
      </c>
      <c r="E56" s="6">
        <v>800452.98394155898</v>
      </c>
      <c r="F56" s="6">
        <v>796642.78684675996</v>
      </c>
      <c r="G56" s="6">
        <v>6374.5723839761304</v>
      </c>
      <c r="H56" s="5">
        <v>0.63745723839761304</v>
      </c>
    </row>
    <row r="57" spans="2:10" x14ac:dyDescent="0.25">
      <c r="B57">
        <v>0.3</v>
      </c>
      <c r="C57" s="6">
        <v>808877.04392315401</v>
      </c>
      <c r="D57" s="6">
        <v>800411.43837708596</v>
      </c>
      <c r="E57" s="6">
        <v>800411.43837196904</v>
      </c>
      <c r="F57" s="6">
        <v>796530.57316235895</v>
      </c>
      <c r="G57" s="6">
        <v>20217.440465076899</v>
      </c>
      <c r="H57" s="5">
        <v>2.0217440465076901</v>
      </c>
    </row>
    <row r="58" spans="2:10" x14ac:dyDescent="0.25">
      <c r="B58">
        <v>0.4</v>
      </c>
      <c r="C58" s="6">
        <v>807195.25814658101</v>
      </c>
      <c r="D58" s="6">
        <v>800162.66153856704</v>
      </c>
      <c r="E58" s="6">
        <v>800162.66154064098</v>
      </c>
      <c r="F58" s="6">
        <v>795701.56489834096</v>
      </c>
      <c r="G58" s="6">
        <v>0</v>
      </c>
      <c r="H58" s="5">
        <v>0</v>
      </c>
    </row>
    <row r="59" spans="2:10" x14ac:dyDescent="0.25">
      <c r="B59">
        <v>0.5</v>
      </c>
      <c r="C59" s="6">
        <v>814114.00134716299</v>
      </c>
      <c r="D59" s="6">
        <v>800062.58746658196</v>
      </c>
      <c r="E59" s="6">
        <v>800062.58745782904</v>
      </c>
      <c r="F59" s="6">
        <v>795008.51956981199</v>
      </c>
      <c r="G59" s="6">
        <v>0</v>
      </c>
      <c r="H59" s="5">
        <v>0</v>
      </c>
    </row>
    <row r="60" spans="2:10" x14ac:dyDescent="0.25">
      <c r="B60">
        <v>0.6</v>
      </c>
      <c r="C60" s="6">
        <v>810987.908623514</v>
      </c>
      <c r="D60" s="6">
        <v>800598.88951088605</v>
      </c>
      <c r="E60" s="6">
        <v>802691.45866308804</v>
      </c>
      <c r="F60" s="6">
        <v>796231.62824480399</v>
      </c>
      <c r="G60" s="6">
        <v>0</v>
      </c>
      <c r="H60" s="5">
        <v>0</v>
      </c>
    </row>
    <row r="61" spans="2:10" x14ac:dyDescent="0.25">
      <c r="B61">
        <v>0.7</v>
      </c>
      <c r="C61" s="6">
        <v>807595.43576530798</v>
      </c>
      <c r="D61" s="6">
        <v>802775.11098748702</v>
      </c>
      <c r="E61" s="6">
        <v>803581.04312351195</v>
      </c>
      <c r="F61" s="6">
        <v>795787.74027260696</v>
      </c>
      <c r="G61" s="6">
        <v>0</v>
      </c>
      <c r="H61" s="5">
        <v>0</v>
      </c>
    </row>
    <row r="62" spans="2:10" x14ac:dyDescent="0.25">
      <c r="B62">
        <v>0.8</v>
      </c>
      <c r="C62" s="6">
        <v>807664.97473749495</v>
      </c>
      <c r="D62" s="6">
        <v>804182.05087088596</v>
      </c>
      <c r="E62" s="6">
        <v>805872.16387087305</v>
      </c>
      <c r="F62" s="6">
        <v>796267.35304154095</v>
      </c>
      <c r="G62" s="6">
        <v>0</v>
      </c>
      <c r="H62" s="5">
        <v>0</v>
      </c>
    </row>
    <row r="63" spans="2:10" x14ac:dyDescent="0.25">
      <c r="B63">
        <v>0.9</v>
      </c>
      <c r="C63" s="6">
        <v>813620.17984197196</v>
      </c>
      <c r="D63" s="6">
        <v>805560.34009892598</v>
      </c>
      <c r="E63" s="6">
        <v>805930.40263111203</v>
      </c>
      <c r="F63" s="6">
        <v>798514.00492756197</v>
      </c>
      <c r="G63" s="6">
        <v>0</v>
      </c>
      <c r="H63" s="5">
        <v>0</v>
      </c>
    </row>
    <row r="64" spans="2:10" x14ac:dyDescent="0.25">
      <c r="B64">
        <v>0.99</v>
      </c>
      <c r="C64" s="6">
        <v>805431.84467422101</v>
      </c>
      <c r="D64" s="6">
        <v>805351.03554833797</v>
      </c>
      <c r="E64" s="6">
        <v>805380.27267785801</v>
      </c>
      <c r="F64" s="6">
        <v>800265.81499332399</v>
      </c>
      <c r="G64" s="6">
        <v>6240.7091142769405</v>
      </c>
      <c r="H64" s="5">
        <v>0.624070911427694</v>
      </c>
    </row>
  </sheetData>
  <mergeCells count="4">
    <mergeCell ref="C22:F22"/>
    <mergeCell ref="G22:J22"/>
    <mergeCell ref="C38:F38"/>
    <mergeCell ref="C52:F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D664-DB88-498F-9822-1E520EA1478C}">
  <dimension ref="A3:E15"/>
  <sheetViews>
    <sheetView workbookViewId="0">
      <selection activeCell="L21" sqref="L21"/>
    </sheetView>
  </sheetViews>
  <sheetFormatPr defaultRowHeight="15" x14ac:dyDescent="0.25"/>
  <cols>
    <col min="1" max="1" width="12.42578125" bestFit="1" customWidth="1"/>
    <col min="2" max="2" width="15.5703125" bestFit="1" customWidth="1"/>
    <col min="3" max="3" width="12.42578125" bestFit="1" customWidth="1"/>
    <col min="4" max="4" width="11.42578125" bestFit="1" customWidth="1"/>
    <col min="5" max="5" width="11.85546875" bestFit="1" customWidth="1"/>
    <col min="6" max="9" width="5" bestFit="1" customWidth="1"/>
    <col min="10" max="10" width="2" bestFit="1" customWidth="1"/>
    <col min="11" max="11" width="12.7109375" bestFit="1" customWidth="1"/>
    <col min="12" max="12" width="12.140625" bestFit="1" customWidth="1"/>
    <col min="13" max="13" width="12.85546875" bestFit="1" customWidth="1"/>
    <col min="14" max="14" width="12.140625" bestFit="1" customWidth="1"/>
    <col min="15" max="15" width="15.28515625" bestFit="1" customWidth="1"/>
    <col min="16" max="16" width="12.85546875" bestFit="1" customWidth="1"/>
  </cols>
  <sheetData>
    <row r="3" spans="1:5" x14ac:dyDescent="0.25">
      <c r="A3" s="2" t="s">
        <v>69</v>
      </c>
      <c r="B3" s="2" t="s">
        <v>68</v>
      </c>
    </row>
    <row r="4" spans="1:5" x14ac:dyDescent="0.25">
      <c r="A4" s="2" t="s">
        <v>59</v>
      </c>
      <c r="B4" t="s">
        <v>26</v>
      </c>
      <c r="C4" t="s">
        <v>47</v>
      </c>
      <c r="D4" t="s">
        <v>64</v>
      </c>
      <c r="E4" t="s">
        <v>63</v>
      </c>
    </row>
    <row r="5" spans="1:5" x14ac:dyDescent="0.25">
      <c r="A5" s="3">
        <v>0</v>
      </c>
      <c r="B5">
        <v>0</v>
      </c>
      <c r="C5">
        <v>0</v>
      </c>
      <c r="D5">
        <v>0</v>
      </c>
      <c r="E5">
        <v>0</v>
      </c>
    </row>
    <row r="6" spans="1:5" x14ac:dyDescent="0.25">
      <c r="A6" s="3">
        <v>0.1</v>
      </c>
      <c r="B6">
        <v>0</v>
      </c>
      <c r="C6">
        <v>0</v>
      </c>
      <c r="D6">
        <v>0</v>
      </c>
      <c r="E6">
        <v>0</v>
      </c>
    </row>
    <row r="7" spans="1:5" x14ac:dyDescent="0.25">
      <c r="A7" s="3">
        <v>0.2</v>
      </c>
      <c r="B7">
        <v>0</v>
      </c>
      <c r="C7">
        <v>-2.8990143619012E-14</v>
      </c>
      <c r="D7">
        <v>0</v>
      </c>
      <c r="E7">
        <v>0</v>
      </c>
    </row>
    <row r="8" spans="1:5" x14ac:dyDescent="0.25">
      <c r="A8" s="3">
        <v>0.3</v>
      </c>
      <c r="B8">
        <v>0</v>
      </c>
      <c r="C8">
        <v>0</v>
      </c>
      <c r="D8">
        <v>0</v>
      </c>
      <c r="E8">
        <v>0</v>
      </c>
    </row>
    <row r="9" spans="1:5" x14ac:dyDescent="0.25">
      <c r="A9" s="3">
        <v>0.4</v>
      </c>
      <c r="B9">
        <v>0</v>
      </c>
      <c r="C9">
        <v>0</v>
      </c>
      <c r="D9">
        <v>0</v>
      </c>
      <c r="E9">
        <v>0</v>
      </c>
    </row>
    <row r="10" spans="1:5" x14ac:dyDescent="0.25">
      <c r="A10" s="3">
        <v>0.5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3">
        <v>0.6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3">
        <v>0.7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3">
        <v>0.8</v>
      </c>
      <c r="B13">
        <v>0</v>
      </c>
      <c r="C13">
        <v>0</v>
      </c>
      <c r="D13">
        <v>0</v>
      </c>
      <c r="E13">
        <v>0.64619769692231899</v>
      </c>
    </row>
    <row r="14" spans="1:5" x14ac:dyDescent="0.25">
      <c r="A14" s="3">
        <v>0.9</v>
      </c>
      <c r="B14">
        <v>0</v>
      </c>
      <c r="C14">
        <v>0</v>
      </c>
      <c r="D14">
        <v>0</v>
      </c>
      <c r="E14">
        <v>0.324704003451113</v>
      </c>
    </row>
    <row r="15" spans="1:5" x14ac:dyDescent="0.25">
      <c r="A15" s="3">
        <v>0.99</v>
      </c>
      <c r="B15">
        <v>0</v>
      </c>
      <c r="C15">
        <v>0</v>
      </c>
      <c r="D15">
        <v>0</v>
      </c>
      <c r="E15">
        <v>0.31916787609091601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720B-B9C7-41DD-9CED-C9D44DF58813}">
  <dimension ref="A3:E33"/>
  <sheetViews>
    <sheetView workbookViewId="0">
      <selection activeCell="H24" sqref="H24"/>
    </sheetView>
  </sheetViews>
  <sheetFormatPr defaultRowHeight="15" x14ac:dyDescent="0.25"/>
  <cols>
    <col min="1" max="1" width="12.42578125" bestFit="1" customWidth="1"/>
    <col min="2" max="2" width="11.85546875" bestFit="1" customWidth="1"/>
    <col min="3" max="3" width="8.5703125" bestFit="1" customWidth="1"/>
    <col min="4" max="4" width="9.5703125" bestFit="1" customWidth="1"/>
    <col min="5" max="5" width="11.42578125" bestFit="1" customWidth="1"/>
    <col min="6" max="8" width="5" bestFit="1" customWidth="1"/>
    <col min="9" max="9" width="12" bestFit="1" customWidth="1"/>
    <col min="10" max="10" width="2" bestFit="1" customWidth="1"/>
    <col min="11" max="11" width="11.5703125" bestFit="1" customWidth="1"/>
    <col min="12" max="12" width="12.140625" bestFit="1" customWidth="1"/>
    <col min="13" max="13" width="12" bestFit="1" customWidth="1"/>
    <col min="14" max="14" width="12.140625" bestFit="1" customWidth="1"/>
    <col min="15" max="15" width="15.28515625" bestFit="1" customWidth="1"/>
    <col min="16" max="16" width="12" bestFit="1" customWidth="1"/>
  </cols>
  <sheetData>
    <row r="3" spans="1:5" x14ac:dyDescent="0.25">
      <c r="A3" s="2" t="s">
        <v>67</v>
      </c>
      <c r="B3" s="2" t="s">
        <v>68</v>
      </c>
    </row>
    <row r="4" spans="1:5" x14ac:dyDescent="0.25">
      <c r="A4" s="2" t="s">
        <v>59</v>
      </c>
      <c r="B4" t="s">
        <v>26</v>
      </c>
      <c r="C4" t="s">
        <v>47</v>
      </c>
      <c r="D4" t="s">
        <v>63</v>
      </c>
      <c r="E4" t="s">
        <v>64</v>
      </c>
    </row>
    <row r="5" spans="1:5" x14ac:dyDescent="0.25">
      <c r="A5" s="3">
        <v>0</v>
      </c>
      <c r="B5">
        <v>0</v>
      </c>
      <c r="C5">
        <v>0</v>
      </c>
      <c r="D5">
        <v>0</v>
      </c>
      <c r="E5">
        <v>0</v>
      </c>
    </row>
    <row r="6" spans="1:5" x14ac:dyDescent="0.25">
      <c r="A6" s="3">
        <v>0.1</v>
      </c>
      <c r="B6">
        <v>0</v>
      </c>
      <c r="C6">
        <v>0</v>
      </c>
      <c r="D6">
        <v>0</v>
      </c>
      <c r="E6">
        <v>0</v>
      </c>
    </row>
    <row r="7" spans="1:5" x14ac:dyDescent="0.25">
      <c r="A7" s="3">
        <v>0.2</v>
      </c>
      <c r="B7">
        <v>0.63745723839761304</v>
      </c>
      <c r="C7">
        <v>0</v>
      </c>
      <c r="D7">
        <v>0</v>
      </c>
      <c r="E7">
        <v>0</v>
      </c>
    </row>
    <row r="8" spans="1:5" x14ac:dyDescent="0.25">
      <c r="A8" s="3">
        <v>0.3</v>
      </c>
      <c r="B8">
        <v>2.0217440465076901</v>
      </c>
      <c r="C8">
        <v>0</v>
      </c>
      <c r="D8">
        <v>0</v>
      </c>
      <c r="E8">
        <v>0</v>
      </c>
    </row>
    <row r="9" spans="1:5" x14ac:dyDescent="0.25">
      <c r="A9" s="3">
        <v>0.4</v>
      </c>
      <c r="B9">
        <v>0</v>
      </c>
      <c r="C9">
        <v>0</v>
      </c>
      <c r="D9">
        <v>0</v>
      </c>
      <c r="E9">
        <v>0</v>
      </c>
    </row>
    <row r="10" spans="1:5" x14ac:dyDescent="0.25">
      <c r="A10" s="3">
        <v>0.5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3">
        <v>0.6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3">
        <v>0.7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3">
        <v>0.8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s="3">
        <v>0.9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s="3">
        <v>0.99</v>
      </c>
      <c r="B15">
        <v>0.624070911427694</v>
      </c>
      <c r="C15">
        <v>0</v>
      </c>
      <c r="D15">
        <v>0</v>
      </c>
      <c r="E15">
        <v>0</v>
      </c>
    </row>
    <row r="21" spans="1:2" x14ac:dyDescent="0.25">
      <c r="A21" s="2" t="s">
        <v>59</v>
      </c>
      <c r="B21" t="s">
        <v>67</v>
      </c>
    </row>
    <row r="22" spans="1:2" x14ac:dyDescent="0.25">
      <c r="A22" s="3">
        <v>0</v>
      </c>
      <c r="B22">
        <v>0</v>
      </c>
    </row>
    <row r="23" spans="1:2" x14ac:dyDescent="0.25">
      <c r="A23" s="3">
        <v>0.1</v>
      </c>
      <c r="B23">
        <v>0</v>
      </c>
    </row>
    <row r="24" spans="1:2" x14ac:dyDescent="0.25">
      <c r="A24" s="3">
        <v>0.2</v>
      </c>
      <c r="B24">
        <v>0.63745723839761304</v>
      </c>
    </row>
    <row r="25" spans="1:2" x14ac:dyDescent="0.25">
      <c r="A25" s="3">
        <v>0.3</v>
      </c>
      <c r="B25">
        <v>2.0217440465076901</v>
      </c>
    </row>
    <row r="26" spans="1:2" x14ac:dyDescent="0.25">
      <c r="A26" s="3">
        <v>0.4</v>
      </c>
      <c r="B26">
        <v>0</v>
      </c>
    </row>
    <row r="27" spans="1:2" x14ac:dyDescent="0.25">
      <c r="A27" s="3">
        <v>0.5</v>
      </c>
      <c r="B27">
        <v>0</v>
      </c>
    </row>
    <row r="28" spans="1:2" x14ac:dyDescent="0.25">
      <c r="A28" s="3">
        <v>0.6</v>
      </c>
      <c r="B28">
        <v>0</v>
      </c>
    </row>
    <row r="29" spans="1:2" x14ac:dyDescent="0.25">
      <c r="A29" s="3">
        <v>0.7</v>
      </c>
      <c r="B29">
        <v>0</v>
      </c>
    </row>
    <row r="30" spans="1:2" x14ac:dyDescent="0.25">
      <c r="A30" s="3">
        <v>0.8</v>
      </c>
      <c r="B30">
        <v>0</v>
      </c>
    </row>
    <row r="31" spans="1:2" x14ac:dyDescent="0.25">
      <c r="A31" s="3">
        <v>0.9</v>
      </c>
      <c r="B31">
        <v>0</v>
      </c>
    </row>
    <row r="32" spans="1:2" x14ac:dyDescent="0.25">
      <c r="A32" s="3">
        <v>0.99</v>
      </c>
      <c r="B32">
        <v>0.624070911427694</v>
      </c>
    </row>
    <row r="33" spans="1:2" x14ac:dyDescent="0.25">
      <c r="A33" s="3" t="s">
        <v>60</v>
      </c>
      <c r="B33">
        <v>3.2832721963329972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F534-3834-46C0-AE04-E78E14EBB201}">
  <dimension ref="A3:AA66"/>
  <sheetViews>
    <sheetView topLeftCell="M43" workbookViewId="0">
      <selection activeCell="T71" sqref="T71"/>
    </sheetView>
  </sheetViews>
  <sheetFormatPr defaultRowHeight="15" x14ac:dyDescent="0.25"/>
  <cols>
    <col min="1" max="1" width="26.5703125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7.28515625" bestFit="1" customWidth="1"/>
    <col min="6" max="8" width="8" bestFit="1" customWidth="1"/>
    <col min="9" max="10" width="7.28515625" bestFit="1" customWidth="1"/>
    <col min="11" max="11" width="8" bestFit="1" customWidth="1"/>
    <col min="12" max="12" width="7.28515625" bestFit="1" customWidth="1"/>
    <col min="13" max="13" width="24.7109375" bestFit="1" customWidth="1"/>
    <col min="14" max="14" width="19.28515625" bestFit="1" customWidth="1"/>
    <col min="15" max="15" width="16.85546875" bestFit="1" customWidth="1"/>
    <col min="16" max="19" width="12" bestFit="1" customWidth="1"/>
    <col min="20" max="20" width="9.7109375" bestFit="1" customWidth="1"/>
    <col min="21" max="21" width="10.28515625" bestFit="1" customWidth="1"/>
    <col min="22" max="22" width="12.5703125" bestFit="1" customWidth="1"/>
    <col min="23" max="23" width="18.85546875" bestFit="1" customWidth="1"/>
    <col min="24" max="24" width="9.7109375" bestFit="1" customWidth="1"/>
    <col min="25" max="25" width="10.28515625" bestFit="1" customWidth="1"/>
    <col min="26" max="26" width="12.5703125" bestFit="1" customWidth="1"/>
    <col min="27" max="27" width="29.42578125" bestFit="1" customWidth="1"/>
    <col min="28" max="28" width="24.28515625" bestFit="1" customWidth="1"/>
    <col min="29" max="29" width="29.85546875" bestFit="1" customWidth="1"/>
    <col min="30" max="30" width="15.7109375" bestFit="1" customWidth="1"/>
    <col min="31" max="31" width="24.42578125" bestFit="1" customWidth="1"/>
    <col min="32" max="32" width="18.85546875" bestFit="1" customWidth="1"/>
    <col min="33" max="33" width="24.7109375" bestFit="1" customWidth="1"/>
    <col min="34" max="34" width="19.28515625" bestFit="1" customWidth="1"/>
    <col min="35" max="35" width="11.42578125" bestFit="1" customWidth="1"/>
    <col min="36" max="36" width="13.85546875" bestFit="1" customWidth="1"/>
    <col min="37" max="37" width="17.5703125" bestFit="1" customWidth="1"/>
    <col min="38" max="38" width="18.85546875" bestFit="1" customWidth="1"/>
    <col min="39" max="39" width="22.7109375" bestFit="1" customWidth="1"/>
    <col min="40" max="40" width="15.7109375" bestFit="1" customWidth="1"/>
    <col min="41" max="41" width="24.42578125" bestFit="1" customWidth="1"/>
    <col min="42" max="42" width="24.7109375" bestFit="1" customWidth="1"/>
    <col min="43" max="43" width="19.28515625" bestFit="1" customWidth="1"/>
    <col min="44" max="44" width="11.42578125" bestFit="1" customWidth="1"/>
    <col min="45" max="45" width="13.85546875" bestFit="1" customWidth="1"/>
    <col min="46" max="46" width="17.5703125" bestFit="1" customWidth="1"/>
    <col min="47" max="47" width="18.85546875" bestFit="1" customWidth="1"/>
    <col min="48" max="48" width="22.7109375" bestFit="1" customWidth="1"/>
    <col min="49" max="49" width="15.7109375" bestFit="1" customWidth="1"/>
    <col min="50" max="50" width="24.42578125" bestFit="1" customWidth="1"/>
    <col min="51" max="51" width="18.85546875" bestFit="1" customWidth="1"/>
    <col min="52" max="52" width="24.7109375" bestFit="1" customWidth="1"/>
    <col min="53" max="53" width="19.28515625" bestFit="1" customWidth="1"/>
    <col min="54" max="54" width="11.42578125" bestFit="1" customWidth="1"/>
    <col min="55" max="55" width="13.85546875" bestFit="1" customWidth="1"/>
    <col min="56" max="56" width="17.5703125" bestFit="1" customWidth="1"/>
    <col min="57" max="57" width="18.85546875" bestFit="1" customWidth="1"/>
    <col min="58" max="58" width="22.7109375" bestFit="1" customWidth="1"/>
    <col min="59" max="59" width="15.7109375" bestFit="1" customWidth="1"/>
    <col min="60" max="60" width="24.42578125" bestFit="1" customWidth="1"/>
    <col min="61" max="61" width="18.85546875" bestFit="1" customWidth="1"/>
    <col min="62" max="62" width="24.7109375" bestFit="1" customWidth="1"/>
    <col min="63" max="63" width="19.28515625" bestFit="1" customWidth="1"/>
    <col min="64" max="64" width="11.42578125" bestFit="1" customWidth="1"/>
    <col min="65" max="65" width="13.85546875" bestFit="1" customWidth="1"/>
    <col min="66" max="66" width="17.5703125" bestFit="1" customWidth="1"/>
    <col min="67" max="67" width="18.85546875" bestFit="1" customWidth="1"/>
    <col min="68" max="68" width="22.7109375" bestFit="1" customWidth="1"/>
    <col min="69" max="69" width="15.7109375" bestFit="1" customWidth="1"/>
    <col min="70" max="70" width="24.42578125" bestFit="1" customWidth="1"/>
    <col min="71" max="71" width="18.85546875" bestFit="1" customWidth="1"/>
    <col min="72" max="72" width="24.7109375" bestFit="1" customWidth="1"/>
    <col min="73" max="73" width="19.28515625" bestFit="1" customWidth="1"/>
    <col min="74" max="74" width="11.42578125" bestFit="1" customWidth="1"/>
    <col min="75" max="75" width="13.85546875" bestFit="1" customWidth="1"/>
    <col min="76" max="76" width="17.5703125" bestFit="1" customWidth="1"/>
    <col min="77" max="77" width="18.85546875" bestFit="1" customWidth="1"/>
    <col min="78" max="78" width="22.7109375" bestFit="1" customWidth="1"/>
    <col min="79" max="79" width="15.7109375" bestFit="1" customWidth="1"/>
    <col min="80" max="80" width="24.42578125" bestFit="1" customWidth="1"/>
    <col min="81" max="81" width="18.85546875" bestFit="1" customWidth="1"/>
    <col min="82" max="82" width="24.7109375" bestFit="1" customWidth="1"/>
    <col min="83" max="83" width="19.28515625" bestFit="1" customWidth="1"/>
    <col min="84" max="84" width="11.42578125" bestFit="1" customWidth="1"/>
    <col min="85" max="85" width="13.85546875" bestFit="1" customWidth="1"/>
    <col min="86" max="86" width="17.5703125" bestFit="1" customWidth="1"/>
    <col min="87" max="87" width="18.85546875" bestFit="1" customWidth="1"/>
    <col min="88" max="88" width="22.7109375" bestFit="1" customWidth="1"/>
    <col min="89" max="89" width="15.7109375" bestFit="1" customWidth="1"/>
    <col min="90" max="90" width="24.42578125" bestFit="1" customWidth="1"/>
    <col min="91" max="91" width="18.85546875" bestFit="1" customWidth="1"/>
    <col min="92" max="92" width="24.7109375" bestFit="1" customWidth="1"/>
    <col min="93" max="93" width="19.28515625" bestFit="1" customWidth="1"/>
    <col min="94" max="94" width="11.42578125" bestFit="1" customWidth="1"/>
    <col min="95" max="95" width="13.85546875" bestFit="1" customWidth="1"/>
    <col min="96" max="96" width="17.5703125" bestFit="1" customWidth="1"/>
    <col min="97" max="97" width="18.85546875" bestFit="1" customWidth="1"/>
    <col min="98" max="98" width="22.7109375" bestFit="1" customWidth="1"/>
    <col min="99" max="99" width="15.7109375" bestFit="1" customWidth="1"/>
    <col min="100" max="100" width="24.42578125" bestFit="1" customWidth="1"/>
    <col min="101" max="101" width="18.85546875" bestFit="1" customWidth="1"/>
    <col min="102" max="102" width="24.7109375" bestFit="1" customWidth="1"/>
    <col min="103" max="103" width="19.28515625" bestFit="1" customWidth="1"/>
    <col min="104" max="104" width="11.42578125" bestFit="1" customWidth="1"/>
    <col min="105" max="105" width="13.85546875" bestFit="1" customWidth="1"/>
    <col min="106" max="106" width="17.5703125" bestFit="1" customWidth="1"/>
    <col min="107" max="107" width="18.85546875" bestFit="1" customWidth="1"/>
    <col min="108" max="108" width="22.7109375" bestFit="1" customWidth="1"/>
    <col min="109" max="109" width="15.7109375" bestFit="1" customWidth="1"/>
    <col min="110" max="110" width="24.42578125" bestFit="1" customWidth="1"/>
    <col min="111" max="111" width="18.85546875" bestFit="1" customWidth="1"/>
    <col min="112" max="112" width="24.7109375" bestFit="1" customWidth="1"/>
    <col min="113" max="113" width="19.28515625" bestFit="1" customWidth="1"/>
    <col min="114" max="114" width="11.42578125" bestFit="1" customWidth="1"/>
    <col min="115" max="115" width="13.85546875" bestFit="1" customWidth="1"/>
    <col min="116" max="116" width="17.5703125" bestFit="1" customWidth="1"/>
    <col min="117" max="117" width="18.85546875" bestFit="1" customWidth="1"/>
    <col min="118" max="118" width="22.7109375" bestFit="1" customWidth="1"/>
    <col min="119" max="119" width="15.7109375" bestFit="1" customWidth="1"/>
    <col min="120" max="120" width="24.42578125" bestFit="1" customWidth="1"/>
    <col min="121" max="121" width="18.85546875" bestFit="1" customWidth="1"/>
    <col min="122" max="122" width="24.7109375" bestFit="1" customWidth="1"/>
    <col min="123" max="123" width="19.28515625" bestFit="1" customWidth="1"/>
    <col min="124" max="124" width="11.42578125" bestFit="1" customWidth="1"/>
    <col min="125" max="125" width="13.85546875" bestFit="1" customWidth="1"/>
    <col min="126" max="126" width="17.5703125" bestFit="1" customWidth="1"/>
    <col min="127" max="127" width="18.85546875" bestFit="1" customWidth="1"/>
    <col min="128" max="128" width="22.7109375" bestFit="1" customWidth="1"/>
    <col min="129" max="129" width="15.7109375" bestFit="1" customWidth="1"/>
    <col min="130" max="130" width="24.42578125" bestFit="1" customWidth="1"/>
    <col min="131" max="131" width="18.85546875" bestFit="1" customWidth="1"/>
    <col min="132" max="132" width="24.7109375" bestFit="1" customWidth="1"/>
    <col min="133" max="133" width="19.28515625" bestFit="1" customWidth="1"/>
    <col min="134" max="134" width="11.42578125" bestFit="1" customWidth="1"/>
    <col min="135" max="135" width="13.85546875" bestFit="1" customWidth="1"/>
    <col min="136" max="136" width="17.5703125" bestFit="1" customWidth="1"/>
    <col min="137" max="137" width="18.85546875" bestFit="1" customWidth="1"/>
    <col min="138" max="138" width="22.7109375" bestFit="1" customWidth="1"/>
    <col min="139" max="139" width="15.7109375" bestFit="1" customWidth="1"/>
    <col min="140" max="140" width="24.42578125" bestFit="1" customWidth="1"/>
    <col min="141" max="141" width="18.85546875" bestFit="1" customWidth="1"/>
    <col min="142" max="142" width="24.7109375" bestFit="1" customWidth="1"/>
    <col min="143" max="143" width="19.28515625" bestFit="1" customWidth="1"/>
    <col min="144" max="144" width="11.42578125" bestFit="1" customWidth="1"/>
    <col min="145" max="145" width="13.85546875" bestFit="1" customWidth="1"/>
    <col min="146" max="146" width="17.5703125" bestFit="1" customWidth="1"/>
    <col min="147" max="147" width="18.85546875" bestFit="1" customWidth="1"/>
    <col min="148" max="148" width="22.7109375" bestFit="1" customWidth="1"/>
    <col min="149" max="149" width="15.7109375" bestFit="1" customWidth="1"/>
    <col min="150" max="150" width="24.42578125" bestFit="1" customWidth="1"/>
    <col min="151" max="151" width="18.85546875" bestFit="1" customWidth="1"/>
    <col min="152" max="152" width="24.7109375" bestFit="1" customWidth="1"/>
    <col min="153" max="153" width="19.28515625" bestFit="1" customWidth="1"/>
    <col min="154" max="154" width="11.42578125" bestFit="1" customWidth="1"/>
    <col min="155" max="155" width="13.85546875" bestFit="1" customWidth="1"/>
    <col min="156" max="156" width="17.5703125" bestFit="1" customWidth="1"/>
    <col min="157" max="157" width="18.85546875" bestFit="1" customWidth="1"/>
    <col min="158" max="158" width="22.7109375" bestFit="1" customWidth="1"/>
    <col min="159" max="159" width="15.7109375" bestFit="1" customWidth="1"/>
    <col min="160" max="160" width="24.42578125" bestFit="1" customWidth="1"/>
    <col min="161" max="161" width="18.85546875" bestFit="1" customWidth="1"/>
    <col min="162" max="162" width="24.7109375" bestFit="1" customWidth="1"/>
    <col min="163" max="163" width="19.28515625" bestFit="1" customWidth="1"/>
    <col min="164" max="164" width="11.42578125" bestFit="1" customWidth="1"/>
    <col min="165" max="165" width="13.85546875" bestFit="1" customWidth="1"/>
    <col min="166" max="166" width="17.5703125" bestFit="1" customWidth="1"/>
    <col min="167" max="167" width="18.85546875" bestFit="1" customWidth="1"/>
    <col min="168" max="168" width="22.7109375" bestFit="1" customWidth="1"/>
    <col min="169" max="169" width="15.7109375" bestFit="1" customWidth="1"/>
    <col min="170" max="170" width="24.42578125" bestFit="1" customWidth="1"/>
    <col min="171" max="171" width="18.85546875" bestFit="1" customWidth="1"/>
    <col min="172" max="172" width="24.7109375" bestFit="1" customWidth="1"/>
    <col min="173" max="173" width="19.28515625" bestFit="1" customWidth="1"/>
    <col min="174" max="174" width="11.42578125" bestFit="1" customWidth="1"/>
    <col min="175" max="175" width="13.85546875" bestFit="1" customWidth="1"/>
    <col min="176" max="176" width="17.5703125" bestFit="1" customWidth="1"/>
    <col min="177" max="177" width="18.85546875" bestFit="1" customWidth="1"/>
    <col min="178" max="178" width="22.7109375" bestFit="1" customWidth="1"/>
    <col min="179" max="179" width="15.7109375" bestFit="1" customWidth="1"/>
    <col min="180" max="180" width="24.42578125" bestFit="1" customWidth="1"/>
    <col min="181" max="181" width="18.85546875" bestFit="1" customWidth="1"/>
    <col min="182" max="182" width="24.7109375" bestFit="1" customWidth="1"/>
    <col min="183" max="183" width="19.28515625" bestFit="1" customWidth="1"/>
    <col min="184" max="184" width="11.42578125" bestFit="1" customWidth="1"/>
    <col min="185" max="185" width="13.85546875" bestFit="1" customWidth="1"/>
    <col min="186" max="186" width="17.5703125" bestFit="1" customWidth="1"/>
    <col min="187" max="187" width="18.85546875" bestFit="1" customWidth="1"/>
    <col min="188" max="188" width="22.7109375" bestFit="1" customWidth="1"/>
    <col min="189" max="189" width="15.7109375" bestFit="1" customWidth="1"/>
    <col min="190" max="190" width="24.42578125" bestFit="1" customWidth="1"/>
    <col min="191" max="191" width="18.85546875" bestFit="1" customWidth="1"/>
    <col min="192" max="192" width="24.7109375" bestFit="1" customWidth="1"/>
    <col min="193" max="193" width="19.28515625" bestFit="1" customWidth="1"/>
    <col min="194" max="194" width="11.42578125" bestFit="1" customWidth="1"/>
    <col min="195" max="195" width="13.85546875" bestFit="1" customWidth="1"/>
    <col min="196" max="196" width="17.5703125" bestFit="1" customWidth="1"/>
    <col min="197" max="197" width="18.85546875" bestFit="1" customWidth="1"/>
    <col min="198" max="198" width="22.7109375" bestFit="1" customWidth="1"/>
    <col min="199" max="199" width="15.7109375" bestFit="1" customWidth="1"/>
    <col min="200" max="200" width="24.42578125" bestFit="1" customWidth="1"/>
    <col min="201" max="201" width="18.85546875" bestFit="1" customWidth="1"/>
    <col min="202" max="202" width="24.7109375" bestFit="1" customWidth="1"/>
    <col min="203" max="203" width="19.28515625" bestFit="1" customWidth="1"/>
    <col min="204" max="204" width="11.42578125" bestFit="1" customWidth="1"/>
    <col min="205" max="205" width="13.85546875" bestFit="1" customWidth="1"/>
    <col min="206" max="206" width="17.5703125" bestFit="1" customWidth="1"/>
    <col min="207" max="207" width="18.85546875" bestFit="1" customWidth="1"/>
    <col min="208" max="208" width="22.7109375" bestFit="1" customWidth="1"/>
    <col min="209" max="209" width="15.7109375" bestFit="1" customWidth="1"/>
    <col min="210" max="210" width="24.42578125" bestFit="1" customWidth="1"/>
    <col min="211" max="211" width="18.85546875" bestFit="1" customWidth="1"/>
    <col min="212" max="212" width="24.7109375" bestFit="1" customWidth="1"/>
    <col min="213" max="213" width="19.28515625" bestFit="1" customWidth="1"/>
    <col min="214" max="214" width="11.42578125" bestFit="1" customWidth="1"/>
    <col min="215" max="215" width="13.85546875" bestFit="1" customWidth="1"/>
    <col min="216" max="216" width="17.5703125" bestFit="1" customWidth="1"/>
    <col min="217" max="217" width="18.85546875" bestFit="1" customWidth="1"/>
    <col min="218" max="218" width="22.7109375" bestFit="1" customWidth="1"/>
    <col min="219" max="219" width="15.7109375" bestFit="1" customWidth="1"/>
    <col min="220" max="220" width="24.42578125" bestFit="1" customWidth="1"/>
    <col min="221" max="221" width="18.85546875" bestFit="1" customWidth="1"/>
    <col min="222" max="222" width="24.7109375" bestFit="1" customWidth="1"/>
    <col min="223" max="223" width="19.28515625" bestFit="1" customWidth="1"/>
    <col min="224" max="224" width="11.42578125" bestFit="1" customWidth="1"/>
    <col min="225" max="225" width="13.85546875" bestFit="1" customWidth="1"/>
    <col min="226" max="226" width="17.5703125" bestFit="1" customWidth="1"/>
    <col min="227" max="227" width="18.85546875" bestFit="1" customWidth="1"/>
    <col min="228" max="228" width="22.7109375" bestFit="1" customWidth="1"/>
    <col min="229" max="229" width="15.7109375" bestFit="1" customWidth="1"/>
    <col min="230" max="230" width="24.42578125" bestFit="1" customWidth="1"/>
    <col min="231" max="231" width="18.85546875" bestFit="1" customWidth="1"/>
    <col min="232" max="232" width="24.7109375" bestFit="1" customWidth="1"/>
    <col min="233" max="233" width="19.28515625" bestFit="1" customWidth="1"/>
    <col min="234" max="234" width="11.42578125" bestFit="1" customWidth="1"/>
    <col min="235" max="235" width="13.85546875" bestFit="1" customWidth="1"/>
    <col min="236" max="236" width="17.5703125" bestFit="1" customWidth="1"/>
    <col min="237" max="237" width="18.85546875" bestFit="1" customWidth="1"/>
    <col min="238" max="238" width="22.7109375" bestFit="1" customWidth="1"/>
    <col min="239" max="239" width="15.7109375" bestFit="1" customWidth="1"/>
    <col min="240" max="240" width="24.42578125" bestFit="1" customWidth="1"/>
    <col min="241" max="241" width="18.85546875" bestFit="1" customWidth="1"/>
    <col min="242" max="242" width="24.7109375" bestFit="1" customWidth="1"/>
    <col min="243" max="243" width="19.28515625" bestFit="1" customWidth="1"/>
    <col min="244" max="244" width="11.42578125" bestFit="1" customWidth="1"/>
    <col min="245" max="245" width="13.85546875" bestFit="1" customWidth="1"/>
    <col min="246" max="246" width="17.5703125" bestFit="1" customWidth="1"/>
    <col min="247" max="247" width="18.85546875" bestFit="1" customWidth="1"/>
    <col min="248" max="248" width="22.7109375" bestFit="1" customWidth="1"/>
    <col min="249" max="249" width="15.7109375" bestFit="1" customWidth="1"/>
    <col min="250" max="250" width="24.42578125" bestFit="1" customWidth="1"/>
    <col min="251" max="251" width="18.85546875" bestFit="1" customWidth="1"/>
    <col min="252" max="252" width="24.7109375" bestFit="1" customWidth="1"/>
    <col min="253" max="253" width="19.28515625" bestFit="1" customWidth="1"/>
    <col min="254" max="254" width="11.42578125" bestFit="1" customWidth="1"/>
    <col min="255" max="255" width="13.85546875" bestFit="1" customWidth="1"/>
    <col min="256" max="256" width="17.5703125" bestFit="1" customWidth="1"/>
    <col min="257" max="257" width="18.85546875" bestFit="1" customWidth="1"/>
    <col min="258" max="258" width="22.7109375" bestFit="1" customWidth="1"/>
    <col min="259" max="259" width="15.7109375" bestFit="1" customWidth="1"/>
    <col min="260" max="260" width="24.42578125" bestFit="1" customWidth="1"/>
    <col min="261" max="261" width="18.85546875" bestFit="1" customWidth="1"/>
    <col min="262" max="262" width="24.7109375" bestFit="1" customWidth="1"/>
    <col min="263" max="263" width="19.28515625" bestFit="1" customWidth="1"/>
    <col min="264" max="264" width="11.42578125" bestFit="1" customWidth="1"/>
    <col min="265" max="265" width="13.85546875" bestFit="1" customWidth="1"/>
    <col min="266" max="266" width="17.5703125" bestFit="1" customWidth="1"/>
    <col min="267" max="267" width="18.85546875" bestFit="1" customWidth="1"/>
    <col min="268" max="268" width="22.7109375" bestFit="1" customWidth="1"/>
    <col min="269" max="269" width="15.7109375" bestFit="1" customWidth="1"/>
    <col min="270" max="270" width="24.42578125" bestFit="1" customWidth="1"/>
    <col min="271" max="271" width="18.85546875" bestFit="1" customWidth="1"/>
    <col min="272" max="272" width="24.7109375" bestFit="1" customWidth="1"/>
    <col min="273" max="273" width="19.28515625" bestFit="1" customWidth="1"/>
    <col min="274" max="274" width="11.42578125" bestFit="1" customWidth="1"/>
    <col min="275" max="275" width="13.85546875" bestFit="1" customWidth="1"/>
    <col min="276" max="276" width="17.5703125" bestFit="1" customWidth="1"/>
    <col min="277" max="277" width="18.85546875" bestFit="1" customWidth="1"/>
    <col min="278" max="278" width="22.7109375" bestFit="1" customWidth="1"/>
    <col min="279" max="279" width="15.7109375" bestFit="1" customWidth="1"/>
    <col min="280" max="280" width="24.42578125" bestFit="1" customWidth="1"/>
    <col min="281" max="281" width="18.85546875" bestFit="1" customWidth="1"/>
    <col min="282" max="282" width="24.7109375" bestFit="1" customWidth="1"/>
    <col min="283" max="283" width="19.28515625" bestFit="1" customWidth="1"/>
    <col min="284" max="284" width="11.42578125" bestFit="1" customWidth="1"/>
    <col min="285" max="285" width="13.85546875" bestFit="1" customWidth="1"/>
    <col min="286" max="286" width="17.5703125" bestFit="1" customWidth="1"/>
    <col min="287" max="287" width="18.85546875" bestFit="1" customWidth="1"/>
    <col min="288" max="288" width="22.7109375" bestFit="1" customWidth="1"/>
    <col min="289" max="289" width="15.7109375" bestFit="1" customWidth="1"/>
    <col min="290" max="290" width="24.42578125" bestFit="1" customWidth="1"/>
    <col min="291" max="291" width="18.85546875" bestFit="1" customWidth="1"/>
    <col min="292" max="292" width="24.7109375" bestFit="1" customWidth="1"/>
    <col min="293" max="293" width="19.28515625" bestFit="1" customWidth="1"/>
    <col min="294" max="294" width="11.42578125" bestFit="1" customWidth="1"/>
    <col min="295" max="295" width="13.85546875" bestFit="1" customWidth="1"/>
    <col min="296" max="296" width="17.5703125" bestFit="1" customWidth="1"/>
    <col min="297" max="297" width="18.85546875" bestFit="1" customWidth="1"/>
    <col min="298" max="298" width="22.7109375" bestFit="1" customWidth="1"/>
    <col min="299" max="299" width="15.7109375" bestFit="1" customWidth="1"/>
    <col min="300" max="300" width="24.42578125" bestFit="1" customWidth="1"/>
    <col min="301" max="301" width="18.85546875" bestFit="1" customWidth="1"/>
    <col min="302" max="302" width="24.7109375" bestFit="1" customWidth="1"/>
    <col min="303" max="303" width="19.28515625" bestFit="1" customWidth="1"/>
    <col min="304" max="304" width="11.42578125" bestFit="1" customWidth="1"/>
    <col min="305" max="305" width="13.85546875" bestFit="1" customWidth="1"/>
    <col min="306" max="306" width="17.5703125" bestFit="1" customWidth="1"/>
    <col min="307" max="307" width="18.85546875" bestFit="1" customWidth="1"/>
    <col min="308" max="308" width="22.7109375" bestFit="1" customWidth="1"/>
    <col min="309" max="309" width="15.7109375" bestFit="1" customWidth="1"/>
    <col min="310" max="310" width="24.42578125" bestFit="1" customWidth="1"/>
    <col min="311" max="311" width="18.85546875" bestFit="1" customWidth="1"/>
    <col min="312" max="312" width="24.7109375" bestFit="1" customWidth="1"/>
    <col min="313" max="313" width="19.28515625" bestFit="1" customWidth="1"/>
    <col min="314" max="314" width="11.42578125" bestFit="1" customWidth="1"/>
    <col min="315" max="315" width="13.85546875" bestFit="1" customWidth="1"/>
    <col min="316" max="316" width="17.5703125" bestFit="1" customWidth="1"/>
    <col min="317" max="317" width="18.85546875" bestFit="1" customWidth="1"/>
    <col min="318" max="318" width="22.7109375" bestFit="1" customWidth="1"/>
    <col min="319" max="319" width="15.7109375" bestFit="1" customWidth="1"/>
    <col min="320" max="320" width="24.42578125" bestFit="1" customWidth="1"/>
    <col min="321" max="321" width="18.85546875" bestFit="1" customWidth="1"/>
    <col min="322" max="322" width="24.7109375" bestFit="1" customWidth="1"/>
    <col min="323" max="323" width="19.28515625" bestFit="1" customWidth="1"/>
    <col min="324" max="324" width="11.42578125" bestFit="1" customWidth="1"/>
    <col min="325" max="325" width="13.85546875" bestFit="1" customWidth="1"/>
    <col min="326" max="326" width="17.5703125" bestFit="1" customWidth="1"/>
    <col min="327" max="327" width="18.85546875" bestFit="1" customWidth="1"/>
    <col min="328" max="328" width="22.7109375" bestFit="1" customWidth="1"/>
    <col min="329" max="329" width="15.7109375" bestFit="1" customWidth="1"/>
    <col min="330" max="330" width="24.42578125" bestFit="1" customWidth="1"/>
    <col min="331" max="331" width="18.85546875" bestFit="1" customWidth="1"/>
    <col min="332" max="332" width="24.7109375" bestFit="1" customWidth="1"/>
    <col min="333" max="333" width="19.28515625" bestFit="1" customWidth="1"/>
    <col min="334" max="334" width="11.42578125" bestFit="1" customWidth="1"/>
    <col min="335" max="335" width="13.85546875" bestFit="1" customWidth="1"/>
    <col min="336" max="336" width="17.5703125" bestFit="1" customWidth="1"/>
    <col min="337" max="337" width="18.85546875" bestFit="1" customWidth="1"/>
    <col min="338" max="338" width="22.7109375" bestFit="1" customWidth="1"/>
    <col min="339" max="339" width="15.7109375" bestFit="1" customWidth="1"/>
    <col min="340" max="340" width="24.42578125" bestFit="1" customWidth="1"/>
    <col min="341" max="341" width="18.85546875" bestFit="1" customWidth="1"/>
    <col min="342" max="342" width="24.7109375" bestFit="1" customWidth="1"/>
    <col min="343" max="343" width="19.28515625" bestFit="1" customWidth="1"/>
    <col min="344" max="344" width="11.42578125" bestFit="1" customWidth="1"/>
    <col min="345" max="345" width="13.85546875" bestFit="1" customWidth="1"/>
    <col min="346" max="346" width="17.5703125" bestFit="1" customWidth="1"/>
    <col min="347" max="347" width="18.85546875" bestFit="1" customWidth="1"/>
    <col min="348" max="348" width="22.7109375" bestFit="1" customWidth="1"/>
    <col min="349" max="349" width="15.7109375" bestFit="1" customWidth="1"/>
    <col min="350" max="350" width="24.42578125" bestFit="1" customWidth="1"/>
    <col min="351" max="351" width="18.85546875" bestFit="1" customWidth="1"/>
    <col min="352" max="352" width="24.7109375" bestFit="1" customWidth="1"/>
    <col min="353" max="353" width="19.28515625" bestFit="1" customWidth="1"/>
    <col min="354" max="354" width="11.42578125" bestFit="1" customWidth="1"/>
    <col min="355" max="355" width="13.85546875" bestFit="1" customWidth="1"/>
    <col min="356" max="356" width="17.5703125" bestFit="1" customWidth="1"/>
    <col min="357" max="357" width="18.85546875" bestFit="1" customWidth="1"/>
    <col min="358" max="358" width="22.7109375" bestFit="1" customWidth="1"/>
    <col min="359" max="359" width="15.7109375" bestFit="1" customWidth="1"/>
    <col min="360" max="360" width="24.42578125" bestFit="1" customWidth="1"/>
    <col min="361" max="361" width="18.85546875" bestFit="1" customWidth="1"/>
    <col min="362" max="362" width="24.7109375" bestFit="1" customWidth="1"/>
    <col min="363" max="363" width="19.28515625" bestFit="1" customWidth="1"/>
    <col min="364" max="364" width="11.42578125" bestFit="1" customWidth="1"/>
    <col min="365" max="365" width="13.85546875" bestFit="1" customWidth="1"/>
    <col min="366" max="366" width="17.5703125" bestFit="1" customWidth="1"/>
    <col min="367" max="367" width="18.85546875" bestFit="1" customWidth="1"/>
    <col min="368" max="368" width="22.7109375" bestFit="1" customWidth="1"/>
    <col min="369" max="369" width="15.7109375" bestFit="1" customWidth="1"/>
    <col min="370" max="370" width="24.42578125" bestFit="1" customWidth="1"/>
    <col min="371" max="371" width="18.85546875" bestFit="1" customWidth="1"/>
    <col min="372" max="372" width="24.7109375" bestFit="1" customWidth="1"/>
    <col min="373" max="373" width="19.28515625" bestFit="1" customWidth="1"/>
    <col min="374" max="374" width="11.42578125" bestFit="1" customWidth="1"/>
    <col min="375" max="375" width="13.85546875" bestFit="1" customWidth="1"/>
    <col min="376" max="376" width="17.5703125" bestFit="1" customWidth="1"/>
    <col min="377" max="377" width="18.85546875" bestFit="1" customWidth="1"/>
    <col min="378" max="378" width="22.7109375" bestFit="1" customWidth="1"/>
    <col min="379" max="379" width="15.7109375" bestFit="1" customWidth="1"/>
    <col min="380" max="380" width="24.42578125" bestFit="1" customWidth="1"/>
    <col min="381" max="381" width="18.85546875" bestFit="1" customWidth="1"/>
    <col min="382" max="382" width="24.7109375" bestFit="1" customWidth="1"/>
    <col min="383" max="383" width="19.28515625" bestFit="1" customWidth="1"/>
    <col min="384" max="384" width="11.42578125" bestFit="1" customWidth="1"/>
    <col min="385" max="385" width="13.85546875" bestFit="1" customWidth="1"/>
    <col min="386" max="386" width="17.5703125" bestFit="1" customWidth="1"/>
    <col min="387" max="387" width="18.85546875" bestFit="1" customWidth="1"/>
    <col min="388" max="388" width="22.7109375" bestFit="1" customWidth="1"/>
    <col min="389" max="389" width="15.7109375" bestFit="1" customWidth="1"/>
    <col min="390" max="390" width="24.42578125" bestFit="1" customWidth="1"/>
    <col min="391" max="391" width="18.85546875" bestFit="1" customWidth="1"/>
    <col min="392" max="392" width="24.7109375" bestFit="1" customWidth="1"/>
    <col min="393" max="393" width="19.28515625" bestFit="1" customWidth="1"/>
    <col min="394" max="394" width="11.42578125" bestFit="1" customWidth="1"/>
    <col min="395" max="395" width="13.85546875" bestFit="1" customWidth="1"/>
    <col min="396" max="396" width="17.5703125" bestFit="1" customWidth="1"/>
    <col min="397" max="397" width="18.85546875" bestFit="1" customWidth="1"/>
    <col min="398" max="398" width="22.7109375" bestFit="1" customWidth="1"/>
    <col min="399" max="399" width="15.7109375" bestFit="1" customWidth="1"/>
    <col min="400" max="400" width="24.42578125" bestFit="1" customWidth="1"/>
    <col min="401" max="401" width="18.85546875" bestFit="1" customWidth="1"/>
    <col min="402" max="402" width="24.7109375" bestFit="1" customWidth="1"/>
    <col min="403" max="403" width="19.28515625" bestFit="1" customWidth="1"/>
    <col min="404" max="404" width="11.42578125" bestFit="1" customWidth="1"/>
    <col min="405" max="405" width="13.85546875" bestFit="1" customWidth="1"/>
    <col min="406" max="406" width="17.5703125" bestFit="1" customWidth="1"/>
    <col min="407" max="407" width="18.85546875" bestFit="1" customWidth="1"/>
    <col min="408" max="408" width="22.7109375" bestFit="1" customWidth="1"/>
    <col min="409" max="409" width="15.7109375" bestFit="1" customWidth="1"/>
    <col min="410" max="410" width="24.42578125" bestFit="1" customWidth="1"/>
    <col min="411" max="411" width="18.85546875" bestFit="1" customWidth="1"/>
    <col min="412" max="412" width="24.7109375" bestFit="1" customWidth="1"/>
    <col min="413" max="413" width="19.28515625" bestFit="1" customWidth="1"/>
    <col min="414" max="414" width="11.42578125" bestFit="1" customWidth="1"/>
    <col min="415" max="415" width="13.85546875" bestFit="1" customWidth="1"/>
    <col min="416" max="416" width="17.5703125" bestFit="1" customWidth="1"/>
    <col min="417" max="417" width="18.85546875" bestFit="1" customWidth="1"/>
    <col min="418" max="418" width="22.7109375" bestFit="1" customWidth="1"/>
    <col min="419" max="419" width="15.7109375" bestFit="1" customWidth="1"/>
    <col min="420" max="420" width="24.42578125" bestFit="1" customWidth="1"/>
    <col min="421" max="421" width="18.85546875" bestFit="1" customWidth="1"/>
    <col min="422" max="422" width="24.7109375" bestFit="1" customWidth="1"/>
    <col min="423" max="423" width="19.28515625" bestFit="1" customWidth="1"/>
    <col min="424" max="424" width="11.42578125" bestFit="1" customWidth="1"/>
    <col min="425" max="425" width="13.85546875" bestFit="1" customWidth="1"/>
    <col min="426" max="426" width="17.5703125" bestFit="1" customWidth="1"/>
    <col min="427" max="427" width="18.85546875" bestFit="1" customWidth="1"/>
    <col min="428" max="428" width="22.7109375" bestFit="1" customWidth="1"/>
    <col min="429" max="429" width="15.7109375" bestFit="1" customWidth="1"/>
    <col min="430" max="430" width="24.42578125" bestFit="1" customWidth="1"/>
    <col min="431" max="431" width="18.85546875" bestFit="1" customWidth="1"/>
    <col min="432" max="432" width="24.7109375" bestFit="1" customWidth="1"/>
    <col min="433" max="433" width="19.28515625" bestFit="1" customWidth="1"/>
    <col min="434" max="434" width="11.42578125" bestFit="1" customWidth="1"/>
    <col min="435" max="435" width="13.85546875" bestFit="1" customWidth="1"/>
    <col min="436" max="436" width="17.5703125" bestFit="1" customWidth="1"/>
    <col min="437" max="437" width="18.85546875" bestFit="1" customWidth="1"/>
    <col min="438" max="438" width="22.7109375" bestFit="1" customWidth="1"/>
    <col min="439" max="439" width="15.7109375" bestFit="1" customWidth="1"/>
    <col min="440" max="440" width="24.42578125" bestFit="1" customWidth="1"/>
  </cols>
  <sheetData>
    <row r="3" spans="1:27" x14ac:dyDescent="0.25">
      <c r="A3" s="2" t="s">
        <v>80</v>
      </c>
      <c r="B3" t="s">
        <v>61</v>
      </c>
    </row>
    <row r="4" spans="1:27" x14ac:dyDescent="0.25">
      <c r="O4" s="2" t="s">
        <v>68</v>
      </c>
    </row>
    <row r="5" spans="1:27" x14ac:dyDescent="0.25">
      <c r="B5" s="2" t="s">
        <v>68</v>
      </c>
      <c r="O5" t="s">
        <v>62</v>
      </c>
      <c r="S5" t="s">
        <v>70</v>
      </c>
      <c r="W5" t="s">
        <v>71</v>
      </c>
      <c r="AA5" t="s">
        <v>62</v>
      </c>
    </row>
    <row r="6" spans="1:27" x14ac:dyDescent="0.25">
      <c r="A6" s="2" t="s">
        <v>59</v>
      </c>
      <c r="B6">
        <v>0</v>
      </c>
      <c r="C6">
        <v>0.1</v>
      </c>
      <c r="D6">
        <v>0.2</v>
      </c>
      <c r="E6">
        <v>0.3</v>
      </c>
      <c r="F6">
        <v>0.4</v>
      </c>
      <c r="G6">
        <v>0.5</v>
      </c>
      <c r="H6">
        <v>0.6</v>
      </c>
      <c r="I6">
        <v>0.7</v>
      </c>
      <c r="J6">
        <v>0.8</v>
      </c>
      <c r="K6">
        <v>0.9</v>
      </c>
      <c r="L6">
        <v>0.99</v>
      </c>
      <c r="N6" s="2" t="s">
        <v>59</v>
      </c>
      <c r="O6" t="s">
        <v>26</v>
      </c>
      <c r="P6" t="s">
        <v>47</v>
      </c>
      <c r="Q6" t="s">
        <v>63</v>
      </c>
      <c r="R6" t="s">
        <v>64</v>
      </c>
      <c r="S6" t="s">
        <v>26</v>
      </c>
      <c r="T6" t="s">
        <v>47</v>
      </c>
      <c r="U6" t="s">
        <v>63</v>
      </c>
      <c r="V6" t="s">
        <v>64</v>
      </c>
      <c r="W6" t="s">
        <v>26</v>
      </c>
      <c r="X6" t="s">
        <v>47</v>
      </c>
      <c r="Y6" t="s">
        <v>63</v>
      </c>
      <c r="Z6" t="s">
        <v>64</v>
      </c>
      <c r="AA6" t="s">
        <v>110</v>
      </c>
    </row>
    <row r="7" spans="1:27" x14ac:dyDescent="0.25">
      <c r="A7" s="3" t="s">
        <v>84</v>
      </c>
      <c r="N7" s="3">
        <v>0</v>
      </c>
      <c r="O7" s="6">
        <v>800627.12557306699</v>
      </c>
      <c r="P7" s="6">
        <v>800627.08243458695</v>
      </c>
      <c r="Q7" s="6">
        <v>796469.72021323501</v>
      </c>
      <c r="R7" s="6">
        <v>808058.20521904796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t="b">
        <f t="shared" ref="AA7:AA17" si="0">ROUNDDOWN((GETPIVOTDATA("Sum of EOPEX",$N$4,"model_type","e-reserve","rho",N7)-GETPIVOTDATA("Sum of EOPEX",$N$4,"model_type","envelope","rho",N7))/GETPIVOTDATA("Sum of EOPEX",$N$4,"model_type","envelope","rho",N7),7)&gt;=0</f>
        <v>1</v>
      </c>
    </row>
    <row r="8" spans="1:27" x14ac:dyDescent="0.25">
      <c r="A8" s="4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 s="3">
        <v>0.1</v>
      </c>
      <c r="O8" s="6">
        <v>800160.24882748898</v>
      </c>
      <c r="P8" s="6">
        <v>800079.35222445498</v>
      </c>
      <c r="Q8" s="6">
        <v>795440.87862226204</v>
      </c>
      <c r="R8" s="6">
        <v>807863.58596770396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t="b">
        <f t="shared" si="0"/>
        <v>0</v>
      </c>
    </row>
    <row r="9" spans="1:27" x14ac:dyDescent="0.25">
      <c r="A9" s="4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 s="3">
        <v>0.2</v>
      </c>
      <c r="O9" s="6">
        <v>800452.98394123395</v>
      </c>
      <c r="P9" s="6">
        <v>800452.98394155898</v>
      </c>
      <c r="Q9" s="6">
        <v>796642.78684675996</v>
      </c>
      <c r="R9" s="6">
        <v>811588.95739103295</v>
      </c>
      <c r="S9" s="6">
        <v>6374.5723839761304</v>
      </c>
      <c r="T9" s="6">
        <v>0</v>
      </c>
      <c r="U9" s="6">
        <v>0</v>
      </c>
      <c r="V9" s="6">
        <v>0</v>
      </c>
      <c r="W9" s="6">
        <v>0</v>
      </c>
      <c r="X9" s="6">
        <v>-8.6970430857036196E-13</v>
      </c>
      <c r="Y9" s="6">
        <v>0</v>
      </c>
      <c r="Z9" s="6">
        <v>0</v>
      </c>
      <c r="AA9" t="b">
        <f t="shared" si="0"/>
        <v>1</v>
      </c>
    </row>
    <row r="10" spans="1:27" x14ac:dyDescent="0.25">
      <c r="A10" s="4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 s="3">
        <v>0.3</v>
      </c>
      <c r="O10" s="6">
        <v>800411.43837708596</v>
      </c>
      <c r="P10" s="6">
        <v>800411.43837196904</v>
      </c>
      <c r="Q10" s="6">
        <v>796530.57316235895</v>
      </c>
      <c r="R10" s="6">
        <v>808877.04392315401</v>
      </c>
      <c r="S10" s="6">
        <v>20217.440465076899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t="b">
        <f t="shared" si="0"/>
        <v>1</v>
      </c>
    </row>
    <row r="11" spans="1:27" x14ac:dyDescent="0.25">
      <c r="A11" s="4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 s="3">
        <v>0.4</v>
      </c>
      <c r="O11" s="6">
        <v>800162.66153856704</v>
      </c>
      <c r="P11" s="6">
        <v>800162.66154064098</v>
      </c>
      <c r="Q11" s="6">
        <v>795701.56489834096</v>
      </c>
      <c r="R11" s="6">
        <v>807195.25814658101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t="b">
        <f t="shared" si="0"/>
        <v>1</v>
      </c>
    </row>
    <row r="12" spans="1:27" x14ac:dyDescent="0.25">
      <c r="A12" s="3" t="s">
        <v>82</v>
      </c>
      <c r="N12" s="3">
        <v>0.5</v>
      </c>
      <c r="O12" s="6">
        <v>800062.58746658196</v>
      </c>
      <c r="P12" s="6">
        <v>800062.58745782904</v>
      </c>
      <c r="Q12" s="6">
        <v>795008.51956981199</v>
      </c>
      <c r="R12" s="6">
        <v>814114.00134716299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t="b">
        <f t="shared" si="0"/>
        <v>1</v>
      </c>
    </row>
    <row r="13" spans="1:27" x14ac:dyDescent="0.25">
      <c r="A13" s="4" t="s">
        <v>26</v>
      </c>
      <c r="B13" s="6">
        <v>749411.58735706599</v>
      </c>
      <c r="C13" s="6">
        <v>748944.71061148902</v>
      </c>
      <c r="D13" s="6">
        <v>749237.44572523504</v>
      </c>
      <c r="E13" s="6">
        <v>749195.900161086</v>
      </c>
      <c r="F13" s="6">
        <v>748947.12332256697</v>
      </c>
      <c r="G13" s="6">
        <v>748847.049250582</v>
      </c>
      <c r="H13" s="6">
        <v>749383.35129488504</v>
      </c>
      <c r="I13" s="6">
        <v>750345.42287748703</v>
      </c>
      <c r="J13" s="6">
        <v>751496.75225688599</v>
      </c>
      <c r="K13" s="6">
        <v>749164.60426292603</v>
      </c>
      <c r="L13" s="6">
        <v>748682.65773233795</v>
      </c>
      <c r="N13" s="3">
        <v>0.6</v>
      </c>
      <c r="O13" s="6">
        <v>800598.88951088605</v>
      </c>
      <c r="P13" s="6">
        <v>802691.45866308804</v>
      </c>
      <c r="Q13" s="6">
        <v>796231.62824480399</v>
      </c>
      <c r="R13" s="6">
        <v>810987.908623514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t="b">
        <f t="shared" si="0"/>
        <v>1</v>
      </c>
    </row>
    <row r="14" spans="1:27" x14ac:dyDescent="0.25">
      <c r="A14" s="4" t="s">
        <v>47</v>
      </c>
      <c r="B14" s="6">
        <v>749411.54421858699</v>
      </c>
      <c r="C14" s="6">
        <v>749141.21253245499</v>
      </c>
      <c r="D14" s="6">
        <v>749237.44572555902</v>
      </c>
      <c r="E14" s="6">
        <v>749195.90015596803</v>
      </c>
      <c r="F14" s="6">
        <v>748947.12332464103</v>
      </c>
      <c r="G14" s="6">
        <v>748847.04924182803</v>
      </c>
      <c r="H14" s="6">
        <v>750261.77055308805</v>
      </c>
      <c r="I14" s="6">
        <v>751023.54976151197</v>
      </c>
      <c r="J14" s="6">
        <v>749481.18457887298</v>
      </c>
      <c r="K14" s="6">
        <v>749262.024815112</v>
      </c>
      <c r="L14" s="6">
        <v>748711.89486185799</v>
      </c>
      <c r="N14" s="3">
        <v>0.7</v>
      </c>
      <c r="O14" s="6">
        <v>802775.11098748702</v>
      </c>
      <c r="P14" s="6">
        <v>803581.04312351195</v>
      </c>
      <c r="Q14" s="6">
        <v>795787.74027260696</v>
      </c>
      <c r="R14" s="6">
        <v>807595.43576530798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t="b">
        <f t="shared" si="0"/>
        <v>1</v>
      </c>
    </row>
    <row r="15" spans="1:27" x14ac:dyDescent="0.25">
      <c r="A15" s="4" t="s">
        <v>63</v>
      </c>
      <c r="B15" s="6">
        <v>745254.18199723505</v>
      </c>
      <c r="C15" s="6">
        <v>744225.34040626197</v>
      </c>
      <c r="D15" s="6">
        <v>745427.24863076</v>
      </c>
      <c r="E15" s="6">
        <v>745315.034946359</v>
      </c>
      <c r="F15" s="6">
        <v>744486.02668234101</v>
      </c>
      <c r="G15" s="6">
        <v>743792.98135381204</v>
      </c>
      <c r="H15" s="6">
        <v>745016.09002880403</v>
      </c>
      <c r="I15" s="6">
        <v>744572.202056607</v>
      </c>
      <c r="J15" s="6">
        <v>745051.81482554099</v>
      </c>
      <c r="K15" s="6">
        <v>745956.51156556199</v>
      </c>
      <c r="L15" s="6">
        <v>747580.51637932495</v>
      </c>
      <c r="N15" s="3">
        <v>0.8</v>
      </c>
      <c r="O15" s="6">
        <v>804182.05087088596</v>
      </c>
      <c r="P15" s="6">
        <v>805872.16387087305</v>
      </c>
      <c r="Q15" s="6">
        <v>796267.35304154095</v>
      </c>
      <c r="R15" s="6">
        <v>807664.97473749495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646.19769692231898</v>
      </c>
      <c r="Z15" s="6">
        <v>0</v>
      </c>
      <c r="AA15" t="b">
        <f t="shared" si="0"/>
        <v>1</v>
      </c>
    </row>
    <row r="16" spans="1:27" x14ac:dyDescent="0.25">
      <c r="A16" s="4" t="s">
        <v>64</v>
      </c>
      <c r="B16" s="6">
        <v>750571.90146304795</v>
      </c>
      <c r="C16" s="6">
        <v>750649.92419170402</v>
      </c>
      <c r="D16" s="6">
        <v>754102.65363503399</v>
      </c>
      <c r="E16" s="6">
        <v>751390.74016715505</v>
      </c>
      <c r="F16" s="6">
        <v>749981.596370582</v>
      </c>
      <c r="G16" s="6">
        <v>756900.33957116294</v>
      </c>
      <c r="H16" s="6">
        <v>753774.24684751302</v>
      </c>
      <c r="I16" s="6">
        <v>750381.77398930897</v>
      </c>
      <c r="J16" s="6">
        <v>750178.67098149494</v>
      </c>
      <c r="K16" s="6">
        <v>756406.51806597202</v>
      </c>
      <c r="L16" s="6">
        <v>748768.22340222099</v>
      </c>
      <c r="N16" s="3">
        <v>0.9</v>
      </c>
      <c r="O16" s="6">
        <v>805560.34009892598</v>
      </c>
      <c r="P16" s="6">
        <v>805930.40263111203</v>
      </c>
      <c r="Q16" s="6">
        <v>798514.00492756197</v>
      </c>
      <c r="R16" s="6">
        <v>813620.17984197196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324.70400345111301</v>
      </c>
      <c r="Z16" s="6">
        <v>0</v>
      </c>
      <c r="AA16" t="b">
        <f t="shared" si="0"/>
        <v>1</v>
      </c>
    </row>
    <row r="17" spans="1:27" x14ac:dyDescent="0.25">
      <c r="A17" s="3" t="s">
        <v>81</v>
      </c>
      <c r="N17" s="3">
        <v>0.99</v>
      </c>
      <c r="O17" s="6">
        <v>805351.03554833797</v>
      </c>
      <c r="P17" s="6">
        <v>805380.27267785801</v>
      </c>
      <c r="Q17" s="6">
        <v>800265.81499332399</v>
      </c>
      <c r="R17" s="6">
        <v>805431.84467422101</v>
      </c>
      <c r="S17" s="6">
        <v>6240.7091142769405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319.16787609091602</v>
      </c>
      <c r="Z17" s="6">
        <v>0</v>
      </c>
      <c r="AA17" t="b">
        <f t="shared" si="0"/>
        <v>1</v>
      </c>
    </row>
    <row r="18" spans="1:27" x14ac:dyDescent="0.25">
      <c r="A18" s="4" t="s">
        <v>26</v>
      </c>
      <c r="B18" s="6">
        <v>51215.538215999797</v>
      </c>
      <c r="C18" s="6">
        <v>51215.538215999797</v>
      </c>
      <c r="D18" s="6">
        <v>51215.538215999797</v>
      </c>
      <c r="E18" s="6">
        <v>51215.538215999797</v>
      </c>
      <c r="F18" s="6">
        <v>51215.538215999797</v>
      </c>
      <c r="G18" s="6">
        <v>51215.538215999797</v>
      </c>
      <c r="H18" s="6">
        <v>51215.538215999797</v>
      </c>
      <c r="I18" s="6">
        <v>52429.688109999799</v>
      </c>
      <c r="J18" s="6">
        <v>52685.298613999897</v>
      </c>
      <c r="K18" s="6">
        <v>56395.735836</v>
      </c>
      <c r="L18" s="6">
        <v>56668.377816</v>
      </c>
    </row>
    <row r="19" spans="1:27" x14ac:dyDescent="0.25">
      <c r="A19" s="4" t="s">
        <v>47</v>
      </c>
      <c r="B19" s="6">
        <v>51215.538215999797</v>
      </c>
      <c r="C19" s="6">
        <v>50938.139691999997</v>
      </c>
      <c r="D19" s="6">
        <v>51215.538215999797</v>
      </c>
      <c r="E19" s="6">
        <v>51215.538215999797</v>
      </c>
      <c r="F19" s="6">
        <v>51215.538215999797</v>
      </c>
      <c r="G19" s="6">
        <v>51215.538215999797</v>
      </c>
      <c r="H19" s="6">
        <v>52429.688109999799</v>
      </c>
      <c r="I19" s="6">
        <v>52557.493361999899</v>
      </c>
      <c r="J19" s="6">
        <v>56390.979291999902</v>
      </c>
      <c r="K19" s="6">
        <v>56668.377816</v>
      </c>
      <c r="L19" s="6">
        <v>56668.377816</v>
      </c>
      <c r="O19" s="10"/>
    </row>
    <row r="20" spans="1:27" x14ac:dyDescent="0.25">
      <c r="A20" s="4" t="s">
        <v>63</v>
      </c>
      <c r="B20" s="6">
        <v>51215.538215999797</v>
      </c>
      <c r="C20" s="6">
        <v>51215.538215999797</v>
      </c>
      <c r="D20" s="6">
        <v>51215.538215999797</v>
      </c>
      <c r="E20" s="6">
        <v>51215.538215999797</v>
      </c>
      <c r="F20" s="6">
        <v>51215.538215999797</v>
      </c>
      <c r="G20" s="6">
        <v>51215.538215999797</v>
      </c>
      <c r="H20" s="6">
        <v>51215.538215999797</v>
      </c>
      <c r="I20" s="6">
        <v>51215.538215999797</v>
      </c>
      <c r="J20" s="6">
        <v>51215.538215999797</v>
      </c>
      <c r="K20" s="6">
        <v>52557.493361999899</v>
      </c>
      <c r="L20" s="6">
        <v>52685.298613999897</v>
      </c>
      <c r="N20" s="2" t="s">
        <v>82</v>
      </c>
      <c r="O20" s="2" t="s">
        <v>68</v>
      </c>
    </row>
    <row r="21" spans="1:27" x14ac:dyDescent="0.25">
      <c r="A21" s="4" t="s">
        <v>64</v>
      </c>
      <c r="B21" s="6">
        <v>57486.303755999797</v>
      </c>
      <c r="C21" s="6">
        <v>57213.661775999899</v>
      </c>
      <c r="D21" s="6">
        <v>57486.303755999797</v>
      </c>
      <c r="E21" s="6">
        <v>57486.303755999797</v>
      </c>
      <c r="F21" s="6">
        <v>57213.661775999899</v>
      </c>
      <c r="G21" s="6">
        <v>57213.661775999899</v>
      </c>
      <c r="H21" s="6">
        <v>57213.661775999899</v>
      </c>
      <c r="I21" s="6">
        <v>57213.661775999899</v>
      </c>
      <c r="J21" s="6">
        <v>57486.303755999797</v>
      </c>
      <c r="K21" s="6">
        <v>57213.661775999899</v>
      </c>
      <c r="L21" s="6">
        <v>56663.6212719998</v>
      </c>
      <c r="N21" s="2" t="s">
        <v>59</v>
      </c>
      <c r="O21" t="s">
        <v>64</v>
      </c>
      <c r="P21" t="s">
        <v>26</v>
      </c>
      <c r="Q21" t="s">
        <v>47</v>
      </c>
      <c r="R21" t="s">
        <v>63</v>
      </c>
      <c r="S21" t="s">
        <v>111</v>
      </c>
      <c r="T21" t="s">
        <v>112</v>
      </c>
      <c r="U21" t="s">
        <v>113</v>
      </c>
    </row>
    <row r="22" spans="1:27" x14ac:dyDescent="0.25">
      <c r="A22" s="3" t="s">
        <v>65</v>
      </c>
      <c r="N22" s="3">
        <v>0</v>
      </c>
      <c r="O22" s="6">
        <v>750571.90146304795</v>
      </c>
      <c r="P22" s="6">
        <v>749411.58735706599</v>
      </c>
      <c r="Q22" s="6">
        <v>749411.54421858699</v>
      </c>
      <c r="R22" s="6">
        <v>745254.18199723505</v>
      </c>
      <c r="S22" t="b">
        <f>ROUND((GETPIVOTDATA("E_production_cost",$N$20,"model_type","e-reserve","rho",N22)-GETPIVOTDATA("E_production_cost",$N$20,"model_type","envelope","rho",N22))/GETPIVOTDATA("E_production_cost",$N$20,"model_type","envelope","rho",N22),8)&gt;=0</f>
        <v>0</v>
      </c>
      <c r="T22">
        <f>GETPIVOTDATA("E_production_cost",$N$20,"model_type","envelope","rho",N22)-GETPIVOTDATA("E_production_cost",$N$20,"model_type","stochastic","rho",N22)</f>
        <v>4157.4053598309401</v>
      </c>
      <c r="U22">
        <f>GETPIVOTDATA("E_production_cost",$N$20,"model_type","e-reserve","rho",N22)-GETPIVOTDATA("E_production_cost",$N$20,"model_type","stochastic","rho",N22)</f>
        <v>4157.3622213519411</v>
      </c>
    </row>
    <row r="23" spans="1:27" x14ac:dyDescent="0.25">
      <c r="A23" s="4" t="s">
        <v>26</v>
      </c>
      <c r="B23" s="6">
        <v>800627.13547786896</v>
      </c>
      <c r="C23" s="6">
        <v>800160.25852527295</v>
      </c>
      <c r="D23" s="6">
        <v>806827.56661677605</v>
      </c>
      <c r="E23" s="6">
        <v>820628.88878700696</v>
      </c>
      <c r="F23" s="6">
        <v>800162.67143617896</v>
      </c>
      <c r="G23" s="6">
        <v>800062.59741890396</v>
      </c>
      <c r="H23" s="6">
        <v>800598.89947486203</v>
      </c>
      <c r="I23" s="6">
        <v>802775.12080624094</v>
      </c>
      <c r="J23" s="6">
        <v>804182.06078549498</v>
      </c>
      <c r="K23" s="6">
        <v>805560.35022721905</v>
      </c>
      <c r="L23" s="6">
        <v>811591.75319991005</v>
      </c>
      <c r="N23" s="3">
        <v>0.1</v>
      </c>
      <c r="O23" s="6">
        <v>750649.92419170402</v>
      </c>
      <c r="P23" s="6">
        <v>748944.71061148902</v>
      </c>
      <c r="Q23" s="6">
        <v>749141.21253245499</v>
      </c>
      <c r="R23" s="6">
        <v>744225.34040626197</v>
      </c>
      <c r="S23" t="b">
        <f t="shared" ref="S23:S32" si="1">ROUND((GETPIVOTDATA("E_production_cost",$N$20,"model_type","e-reserve","rho",N23)-GETPIVOTDATA("E_production_cost",$N$20,"model_type","envelope","rho",N23))/GETPIVOTDATA("E_production_cost",$N$20,"model_type","envelope","rho",N23),8)&gt;=0</f>
        <v>1</v>
      </c>
      <c r="T23">
        <f t="shared" ref="T23:T33" si="2">GETPIVOTDATA("E_production_cost",$N$20,"model_type","envelope","rho",N23)-GETPIVOTDATA("E_production_cost",$N$20,"model_type","stochastic","rho",N23)</f>
        <v>4719.3702052270528</v>
      </c>
      <c r="U23">
        <f t="shared" ref="U23:U32" si="3">GETPIVOTDATA("E_production_cost",$N$20,"model_type","e-reserve","rho",N23)-GETPIVOTDATA("E_production_cost",$N$20,"model_type","stochastic","rho",N23)</f>
        <v>4915.8721261930186</v>
      </c>
    </row>
    <row r="24" spans="1:27" x14ac:dyDescent="0.25">
      <c r="A24" s="4" t="s">
        <v>47</v>
      </c>
      <c r="B24" s="6">
        <v>800627.09233938903</v>
      </c>
      <c r="C24" s="6">
        <v>800079.36192223802</v>
      </c>
      <c r="D24" s="6">
        <v>800452.99423312396</v>
      </c>
      <c r="E24" s="6">
        <v>800411.44831681205</v>
      </c>
      <c r="F24" s="6">
        <v>800162.67143825302</v>
      </c>
      <c r="G24" s="6">
        <v>800062.59741014999</v>
      </c>
      <c r="H24" s="6">
        <v>802691.46862706495</v>
      </c>
      <c r="I24" s="6">
        <v>803581.05294226599</v>
      </c>
      <c r="J24" s="6">
        <v>805872.17378548195</v>
      </c>
      <c r="K24" s="6">
        <v>805930.41275940603</v>
      </c>
      <c r="L24" s="6">
        <v>805380.281215152</v>
      </c>
      <c r="N24" s="3">
        <v>0.2</v>
      </c>
      <c r="O24" s="6">
        <v>754102.65363503399</v>
      </c>
      <c r="P24" s="6">
        <v>749237.44572523504</v>
      </c>
      <c r="Q24" s="6">
        <v>749237.44572555902</v>
      </c>
      <c r="R24" s="6">
        <v>745427.24863076</v>
      </c>
      <c r="S24" t="b">
        <f t="shared" si="1"/>
        <v>1</v>
      </c>
      <c r="T24">
        <f t="shared" si="2"/>
        <v>3810.1970944750356</v>
      </c>
      <c r="U24">
        <f t="shared" si="3"/>
        <v>3810.1970947990194</v>
      </c>
    </row>
    <row r="25" spans="1:27" x14ac:dyDescent="0.25">
      <c r="A25" s="4" t="s">
        <v>63</v>
      </c>
      <c r="B25" s="6">
        <v>796469.72021323501</v>
      </c>
      <c r="C25" s="6">
        <v>795440.87862226204</v>
      </c>
      <c r="D25" s="6">
        <v>796642.78684675996</v>
      </c>
      <c r="E25" s="6">
        <v>796530.57316235895</v>
      </c>
      <c r="F25" s="6">
        <v>795701.56489834096</v>
      </c>
      <c r="G25" s="6">
        <v>795008.51956981199</v>
      </c>
      <c r="H25" s="6">
        <v>796231.62824480399</v>
      </c>
      <c r="I25" s="6">
        <v>795787.74027260696</v>
      </c>
      <c r="J25" s="6">
        <v>796913.55073846295</v>
      </c>
      <c r="K25" s="6">
        <v>798838.70893101301</v>
      </c>
      <c r="L25" s="6">
        <v>800584.98286941496</v>
      </c>
      <c r="M25" s="6">
        <f>GETPIVOTDATA("Sum of EOPEX",$A$5,"model_type","stochastic","rho",0.8)+GETPIVOTDATA("Sum of ELGEN_cost",$A$5,"model_type","stochastic","rho",0.8)</f>
        <v>796913.55073846329</v>
      </c>
      <c r="N25" s="3">
        <v>0.3</v>
      </c>
      <c r="O25" s="6">
        <v>751390.74016715505</v>
      </c>
      <c r="P25" s="6">
        <v>749195.900161086</v>
      </c>
      <c r="Q25" s="6">
        <v>749195.90015596803</v>
      </c>
      <c r="R25" s="6">
        <v>745315.034946359</v>
      </c>
      <c r="S25" t="b">
        <f t="shared" si="1"/>
        <v>1</v>
      </c>
      <c r="T25">
        <f t="shared" si="2"/>
        <v>3880.8652147270041</v>
      </c>
      <c r="U25">
        <f t="shared" si="3"/>
        <v>3880.8652096090373</v>
      </c>
    </row>
    <row r="26" spans="1:27" x14ac:dyDescent="0.25">
      <c r="A26" s="4" t="s">
        <v>64</v>
      </c>
      <c r="B26" s="6">
        <v>808058.21512385004</v>
      </c>
      <c r="C26" s="6">
        <v>807863.595665487</v>
      </c>
      <c r="D26" s="6">
        <v>811588.96768260002</v>
      </c>
      <c r="E26" s="6">
        <v>808877.053867999</v>
      </c>
      <c r="F26" s="6">
        <v>807195.26804419304</v>
      </c>
      <c r="G26" s="6">
        <v>814114.01129948499</v>
      </c>
      <c r="H26" s="6">
        <v>810987.91858748998</v>
      </c>
      <c r="I26" s="6">
        <v>807595.44558406202</v>
      </c>
      <c r="J26" s="6">
        <v>807664.98465210304</v>
      </c>
      <c r="K26" s="6">
        <v>813620.18997026596</v>
      </c>
      <c r="L26" s="6">
        <v>805431.85321151605</v>
      </c>
      <c r="N26" s="3">
        <v>0.4</v>
      </c>
      <c r="O26" s="6">
        <v>749981.596370582</v>
      </c>
      <c r="P26" s="6">
        <v>748947.12332256697</v>
      </c>
      <c r="Q26" s="6">
        <v>748947.12332464103</v>
      </c>
      <c r="R26" s="6">
        <v>744486.02668234101</v>
      </c>
      <c r="S26" t="b">
        <f t="shared" si="1"/>
        <v>1</v>
      </c>
      <c r="T26">
        <f t="shared" si="2"/>
        <v>4461.0966402259655</v>
      </c>
      <c r="U26">
        <f t="shared" si="3"/>
        <v>4461.0966423000209</v>
      </c>
    </row>
    <row r="27" spans="1:27" x14ac:dyDescent="0.25">
      <c r="A27" s="3" t="s">
        <v>62</v>
      </c>
      <c r="N27" s="3">
        <v>0.5</v>
      </c>
      <c r="O27" s="6">
        <v>756900.33957116294</v>
      </c>
      <c r="P27" s="6">
        <v>748847.049250582</v>
      </c>
      <c r="Q27" s="6">
        <v>748847.04924182803</v>
      </c>
      <c r="R27" s="6">
        <v>743792.98135381204</v>
      </c>
      <c r="S27" t="b">
        <f t="shared" si="1"/>
        <v>1</v>
      </c>
      <c r="T27">
        <f t="shared" si="2"/>
        <v>5054.0678967699641</v>
      </c>
      <c r="U27">
        <f t="shared" si="3"/>
        <v>5054.0678880159976</v>
      </c>
    </row>
    <row r="28" spans="1:27" x14ac:dyDescent="0.25">
      <c r="A28" s="4" t="s">
        <v>26</v>
      </c>
      <c r="B28" s="6">
        <v>800627.12557306699</v>
      </c>
      <c r="C28" s="6">
        <v>800160.24882748898</v>
      </c>
      <c r="D28" s="6">
        <v>800452.98394123395</v>
      </c>
      <c r="E28" s="6">
        <v>800411.43837708596</v>
      </c>
      <c r="F28" s="6">
        <v>800162.66153856704</v>
      </c>
      <c r="G28" s="6">
        <v>800062.58746658196</v>
      </c>
      <c r="H28" s="6">
        <v>800598.88951088605</v>
      </c>
      <c r="I28" s="6">
        <v>802775.11098748702</v>
      </c>
      <c r="J28" s="6">
        <v>804182.05087088596</v>
      </c>
      <c r="K28" s="6">
        <v>805560.34009892598</v>
      </c>
      <c r="L28" s="6">
        <v>805351.03554833797</v>
      </c>
      <c r="N28" s="3">
        <v>0.6</v>
      </c>
      <c r="O28" s="6">
        <v>753774.24684751302</v>
      </c>
      <c r="P28" s="6">
        <v>749383.35129488504</v>
      </c>
      <c r="Q28" s="6">
        <v>750261.77055308805</v>
      </c>
      <c r="R28" s="6">
        <v>745016.09002880403</v>
      </c>
      <c r="S28" t="b">
        <f t="shared" si="1"/>
        <v>1</v>
      </c>
      <c r="T28">
        <f t="shared" si="2"/>
        <v>4367.2612660810119</v>
      </c>
      <c r="U28">
        <f t="shared" si="3"/>
        <v>5245.6805242840201</v>
      </c>
    </row>
    <row r="29" spans="1:27" x14ac:dyDescent="0.25">
      <c r="A29" s="4" t="s">
        <v>47</v>
      </c>
      <c r="B29" s="6">
        <v>800627.08243458695</v>
      </c>
      <c r="C29" s="6">
        <v>800079.35222445498</v>
      </c>
      <c r="D29" s="6">
        <v>800452.98394155898</v>
      </c>
      <c r="E29" s="6">
        <v>800411.43837196904</v>
      </c>
      <c r="F29" s="6">
        <v>800162.66154064098</v>
      </c>
      <c r="G29" s="6">
        <v>800062.58745782904</v>
      </c>
      <c r="H29" s="6">
        <v>802691.45866308804</v>
      </c>
      <c r="I29" s="6">
        <v>803581.04312351195</v>
      </c>
      <c r="J29" s="6">
        <v>805872.16387087305</v>
      </c>
      <c r="K29" s="6">
        <v>805930.40263111203</v>
      </c>
      <c r="L29" s="6">
        <v>805380.27267785801</v>
      </c>
      <c r="N29" s="3">
        <v>0.7</v>
      </c>
      <c r="O29" s="6">
        <v>750381.77398930897</v>
      </c>
      <c r="P29" s="6">
        <v>750345.42287748703</v>
      </c>
      <c r="Q29" s="6">
        <v>751023.54976151197</v>
      </c>
      <c r="R29" s="6">
        <v>744572.202056607</v>
      </c>
      <c r="S29" t="b">
        <f t="shared" si="1"/>
        <v>1</v>
      </c>
      <c r="T29">
        <f t="shared" si="2"/>
        <v>5773.2208208800294</v>
      </c>
      <c r="U29">
        <f t="shared" si="3"/>
        <v>6451.3477049049689</v>
      </c>
    </row>
    <row r="30" spans="1:27" x14ac:dyDescent="0.25">
      <c r="A30" s="4" t="s">
        <v>63</v>
      </c>
      <c r="B30" s="6">
        <v>796469.72021323501</v>
      </c>
      <c r="C30" s="6">
        <v>795440.87862226204</v>
      </c>
      <c r="D30" s="6">
        <v>796642.78684675996</v>
      </c>
      <c r="E30" s="6">
        <v>796530.57316235895</v>
      </c>
      <c r="F30" s="6">
        <v>795701.56489834096</v>
      </c>
      <c r="G30" s="6">
        <v>795008.51956981199</v>
      </c>
      <c r="H30" s="6">
        <v>796231.62824480399</v>
      </c>
      <c r="I30" s="6">
        <v>795787.74027260696</v>
      </c>
      <c r="J30" s="6">
        <v>796267.35304154095</v>
      </c>
      <c r="K30" s="6">
        <v>798514.00492756197</v>
      </c>
      <c r="L30" s="6">
        <v>800265.81499332399</v>
      </c>
      <c r="N30" s="3">
        <v>0.8</v>
      </c>
      <c r="O30" s="6">
        <v>750178.67098149494</v>
      </c>
      <c r="P30" s="6">
        <v>751496.75225688599</v>
      </c>
      <c r="Q30" s="6">
        <v>749481.18457887298</v>
      </c>
      <c r="R30" s="6">
        <v>745051.81482554099</v>
      </c>
      <c r="S30" t="b">
        <f t="shared" si="1"/>
        <v>0</v>
      </c>
      <c r="T30">
        <f t="shared" si="2"/>
        <v>6444.9374313449953</v>
      </c>
      <c r="U30">
        <f t="shared" si="3"/>
        <v>4429.3697533319937</v>
      </c>
    </row>
    <row r="31" spans="1:27" x14ac:dyDescent="0.25">
      <c r="A31" s="4" t="s">
        <v>64</v>
      </c>
      <c r="B31" s="6">
        <v>808058.20521904796</v>
      </c>
      <c r="C31" s="6">
        <v>807863.58596770396</v>
      </c>
      <c r="D31" s="6">
        <v>811588.95739103295</v>
      </c>
      <c r="E31" s="6">
        <v>808877.04392315401</v>
      </c>
      <c r="F31" s="6">
        <v>807195.25814658101</v>
      </c>
      <c r="G31" s="6">
        <v>814114.00134716299</v>
      </c>
      <c r="H31" s="6">
        <v>810987.908623514</v>
      </c>
      <c r="I31" s="6">
        <v>807595.43576530798</v>
      </c>
      <c r="J31" s="6">
        <v>807664.97473749495</v>
      </c>
      <c r="K31" s="6">
        <v>813620.17984197196</v>
      </c>
      <c r="L31" s="6">
        <v>805431.84467422101</v>
      </c>
      <c r="N31" s="3">
        <v>0.9</v>
      </c>
      <c r="O31" s="6">
        <v>756406.51806597202</v>
      </c>
      <c r="P31" s="6">
        <v>749164.60426292603</v>
      </c>
      <c r="Q31" s="6">
        <v>749262.024815112</v>
      </c>
      <c r="R31" s="6">
        <v>745956.51156556199</v>
      </c>
      <c r="S31" t="b">
        <f t="shared" si="1"/>
        <v>1</v>
      </c>
      <c r="T31">
        <f t="shared" si="2"/>
        <v>3208.0926973640453</v>
      </c>
      <c r="U31">
        <f t="shared" si="3"/>
        <v>3305.5132495500147</v>
      </c>
    </row>
    <row r="32" spans="1:27" x14ac:dyDescent="0.25">
      <c r="A32" s="3" t="s">
        <v>70</v>
      </c>
      <c r="N32" s="3">
        <v>0.99</v>
      </c>
      <c r="O32" s="6">
        <v>748768.22340222099</v>
      </c>
      <c r="P32" s="6">
        <v>748682.65773233795</v>
      </c>
      <c r="Q32" s="6">
        <v>748711.89486185799</v>
      </c>
      <c r="R32" s="6">
        <v>747580.51637932495</v>
      </c>
      <c r="S32" t="b">
        <f t="shared" si="1"/>
        <v>1</v>
      </c>
      <c r="T32">
        <f t="shared" si="2"/>
        <v>1102.1413530129939</v>
      </c>
      <c r="U32">
        <f t="shared" si="3"/>
        <v>1131.3784825330367</v>
      </c>
    </row>
    <row r="33" spans="1:19" x14ac:dyDescent="0.25">
      <c r="A33" s="4" t="s">
        <v>26</v>
      </c>
      <c r="B33" s="6">
        <v>0</v>
      </c>
      <c r="C33" s="6">
        <v>0</v>
      </c>
      <c r="D33" s="6">
        <v>6374.5723839761304</v>
      </c>
      <c r="E33" s="6">
        <v>20217.440465076899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6240.7091142769405</v>
      </c>
    </row>
    <row r="34" spans="1:19" x14ac:dyDescent="0.25">
      <c r="A34" s="4" t="s">
        <v>47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9" x14ac:dyDescent="0.25">
      <c r="A35" s="4" t="s">
        <v>63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N35" s="2" t="s">
        <v>81</v>
      </c>
      <c r="O35" s="2" t="s">
        <v>68</v>
      </c>
    </row>
    <row r="36" spans="1:19" x14ac:dyDescent="0.25">
      <c r="A36" s="4" t="s">
        <v>64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N36" s="2" t="s">
        <v>59</v>
      </c>
      <c r="O36" t="s">
        <v>64</v>
      </c>
      <c r="P36" t="s">
        <v>26</v>
      </c>
      <c r="Q36" t="s">
        <v>47</v>
      </c>
      <c r="R36" t="s">
        <v>63</v>
      </c>
      <c r="S36" t="s">
        <v>111</v>
      </c>
    </row>
    <row r="37" spans="1:19" x14ac:dyDescent="0.25">
      <c r="A37" s="3" t="s">
        <v>71</v>
      </c>
      <c r="N37" s="3">
        <v>0</v>
      </c>
      <c r="O37" s="15">
        <v>57486.303755999797</v>
      </c>
      <c r="P37" s="15">
        <v>51215.538215999797</v>
      </c>
      <c r="Q37" s="15">
        <v>51215.538215999797</v>
      </c>
      <c r="R37" s="15">
        <v>51215.538215999797</v>
      </c>
      <c r="S37" t="b">
        <f>ROUND((GETPIVOTDATA("Sum of E_fixed_cost",$N$35,"model_type","e-reserve","rho",N37)-GETPIVOTDATA("Sum of E_fixed_cost",$N$35,"model_type","envelope","rho",N37))/GETPIVOTDATA("Sum of E_fixed_cost",$N$35,"model_type","envelope","rho",N37),8)&gt;=0</f>
        <v>1</v>
      </c>
    </row>
    <row r="38" spans="1:19" x14ac:dyDescent="0.25">
      <c r="A38" s="4" t="s">
        <v>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 s="3">
        <v>0.1</v>
      </c>
      <c r="O38" s="15">
        <v>57213.661775999899</v>
      </c>
      <c r="P38" s="15">
        <v>51215.538215999797</v>
      </c>
      <c r="Q38" s="15">
        <v>50938.139691999997</v>
      </c>
      <c r="R38" s="15">
        <v>51215.538215999797</v>
      </c>
      <c r="S38" t="b">
        <f>ROUND((GETPIVOTDATA("Sum of E_fixed_cost",$N$35,"model_type","e-reserve","rho",N38)-GETPIVOTDATA("Sum of E_fixed_cost",$N$35,"model_type","envelope","rho",N38))/GETPIVOTDATA("Sum of E_fixed_cost",$N$35,"model_type","envelope","rho",N38),8)&gt;=0</f>
        <v>0</v>
      </c>
    </row>
    <row r="39" spans="1:19" x14ac:dyDescent="0.25">
      <c r="A39" s="4" t="s">
        <v>47</v>
      </c>
      <c r="B39">
        <v>0</v>
      </c>
      <c r="C39">
        <v>0</v>
      </c>
      <c r="D39" s="11">
        <v>-8.6970430857036196E-13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 s="3">
        <v>0.2</v>
      </c>
      <c r="O39" s="15">
        <v>57486.303755999797</v>
      </c>
      <c r="P39" s="15">
        <v>51215.538215999797</v>
      </c>
      <c r="Q39" s="15">
        <v>51215.538215999797</v>
      </c>
      <c r="R39" s="15">
        <v>51215.538215999797</v>
      </c>
      <c r="S39" t="b">
        <f>ROUND((GETPIVOTDATA("Sum of E_fixed_cost",$N$35,"model_type","e-reserve","rho",N39)-GETPIVOTDATA("Sum of E_fixed_cost",$N$35,"model_type","envelope","rho",N39))/GETPIVOTDATA("Sum of E_fixed_cost",$N$35,"model_type","envelope","rho",N39),8)&gt;=0</f>
        <v>1</v>
      </c>
    </row>
    <row r="40" spans="1:19" x14ac:dyDescent="0.25">
      <c r="A40" s="4" t="s">
        <v>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s="6">
        <v>646.19769692231898</v>
      </c>
      <c r="K40" s="6">
        <v>324.70400345111301</v>
      </c>
      <c r="L40" s="6">
        <v>319.16787609091602</v>
      </c>
      <c r="N40" s="3">
        <v>0.3</v>
      </c>
      <c r="O40" s="15">
        <v>57486.303755999797</v>
      </c>
      <c r="P40" s="15">
        <v>51215.538215999797</v>
      </c>
      <c r="Q40" s="15">
        <v>51215.538215999797</v>
      </c>
      <c r="R40" s="15">
        <v>51215.538215999797</v>
      </c>
      <c r="S40" t="b">
        <f>ROUND((GETPIVOTDATA("Sum of E_fixed_cost",$N$35,"model_type","e-reserve","rho",N40)-GETPIVOTDATA("Sum of E_fixed_cost",$N$35,"model_type","envelope","rho",N40))/GETPIVOTDATA("Sum of E_fixed_cost",$N$35,"model_type","envelope","rho",N40),8)&gt;=0</f>
        <v>1</v>
      </c>
    </row>
    <row r="41" spans="1:19" x14ac:dyDescent="0.25">
      <c r="A41" s="4" t="s">
        <v>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 s="3">
        <v>0.4</v>
      </c>
      <c r="O41" s="15">
        <v>57213.661775999899</v>
      </c>
      <c r="P41" s="15">
        <v>51215.538215999797</v>
      </c>
      <c r="Q41" s="15">
        <v>51215.538215999797</v>
      </c>
      <c r="R41" s="15">
        <v>51215.538215999797</v>
      </c>
      <c r="S41" t="b">
        <f>ROUND((GETPIVOTDATA("Sum of E_fixed_cost",$N$35,"model_type","e-reserve","rho",N41)-GETPIVOTDATA("Sum of E_fixed_cost",$N$35,"model_type","envelope","rho",N41))/GETPIVOTDATA("Sum of E_fixed_cost",$N$35,"model_type","envelope","rho",N41),8)&gt;=0</f>
        <v>1</v>
      </c>
    </row>
    <row r="42" spans="1:19" x14ac:dyDescent="0.25">
      <c r="A42" s="3" t="s">
        <v>72</v>
      </c>
      <c r="N42" s="3">
        <v>0.5</v>
      </c>
      <c r="O42" s="15">
        <v>57213.661775999899</v>
      </c>
      <c r="P42" s="15">
        <v>51215.538215999797</v>
      </c>
      <c r="Q42" s="15">
        <v>51215.538215999797</v>
      </c>
      <c r="R42" s="15">
        <v>51215.538215999797</v>
      </c>
      <c r="S42" t="b">
        <f>ROUND((GETPIVOTDATA("Sum of E_fixed_cost",$N$35,"model_type","e-reserve","rho",N42)-GETPIVOTDATA("Sum of E_fixed_cost",$N$35,"model_type","envelope","rho",N42))/GETPIVOTDATA("Sum of E_fixed_cost",$N$35,"model_type","envelope","rho",N42),8)&gt;=0</f>
        <v>1</v>
      </c>
    </row>
    <row r="43" spans="1:19" x14ac:dyDescent="0.25">
      <c r="A43" s="4" t="s">
        <v>26</v>
      </c>
      <c r="B43" s="9">
        <v>9.9048019109000095E-3</v>
      </c>
      <c r="C43" s="9">
        <v>9.6977837672499699E-3</v>
      </c>
      <c r="D43" s="9">
        <v>1.0291565842974901E-2</v>
      </c>
      <c r="E43" s="9">
        <v>9.9448435359500102E-3</v>
      </c>
      <c r="F43" s="9">
        <v>9.8976117661999808E-3</v>
      </c>
      <c r="G43" s="9">
        <v>9.95232179222502E-3</v>
      </c>
      <c r="H43" s="9">
        <v>9.9639769085749993E-3</v>
      </c>
      <c r="I43" s="9">
        <v>9.8187535599999695E-3</v>
      </c>
      <c r="J43" s="9">
        <v>9.9146086081499801E-3</v>
      </c>
      <c r="K43" s="9">
        <v>1.0128294163125001E-2</v>
      </c>
      <c r="L43" s="9">
        <v>8.5372950844499994E-3</v>
      </c>
      <c r="N43" s="3">
        <v>0.6</v>
      </c>
      <c r="O43" s="15">
        <v>57213.661775999899</v>
      </c>
      <c r="P43" s="15">
        <v>51215.538215999797</v>
      </c>
      <c r="Q43" s="15">
        <v>52429.688109999799</v>
      </c>
      <c r="R43" s="15">
        <v>51215.538215999797</v>
      </c>
      <c r="S43" t="b">
        <f>ROUND((GETPIVOTDATA("Sum of E_fixed_cost",$N$35,"model_type","e-reserve","rho",N43)-GETPIVOTDATA("Sum of E_fixed_cost",$N$35,"model_type","envelope","rho",N43))/GETPIVOTDATA("Sum of E_fixed_cost",$N$35,"model_type","envelope","rho",N43),8)&gt;=0</f>
        <v>1</v>
      </c>
    </row>
    <row r="44" spans="1:19" x14ac:dyDescent="0.25">
      <c r="A44" s="4" t="s">
        <v>47</v>
      </c>
      <c r="B44" s="9">
        <v>9.9048019109000095E-3</v>
      </c>
      <c r="C44" s="9">
        <v>9.6977837672500202E-3</v>
      </c>
      <c r="D44" s="9">
        <v>1.0291565842974901E-2</v>
      </c>
      <c r="E44" s="9">
        <v>9.9448435359500206E-3</v>
      </c>
      <c r="F44" s="9">
        <v>9.8976117661999808E-3</v>
      </c>
      <c r="G44" s="9">
        <v>9.95232179222502E-3</v>
      </c>
      <c r="H44" s="9">
        <v>9.9639769085749803E-3</v>
      </c>
      <c r="I44" s="9">
        <v>9.8187535599999695E-3</v>
      </c>
      <c r="J44" s="9">
        <v>9.9146086081499801E-3</v>
      </c>
      <c r="K44" s="9">
        <v>1.01282941631249E-2</v>
      </c>
      <c r="L44" s="9">
        <v>8.5372950844499994E-3</v>
      </c>
      <c r="N44" s="3">
        <v>0.7</v>
      </c>
      <c r="O44" s="15">
        <v>57213.661775999899</v>
      </c>
      <c r="P44" s="15">
        <v>52429.688109999799</v>
      </c>
      <c r="Q44" s="15">
        <v>52557.493361999899</v>
      </c>
      <c r="R44" s="15">
        <v>51215.538215999797</v>
      </c>
      <c r="S44" t="b">
        <f>ROUND((GETPIVOTDATA("Sum of E_fixed_cost",$N$35,"model_type","e-reserve","rho",N44)-GETPIVOTDATA("Sum of E_fixed_cost",$N$35,"model_type","envelope","rho",N44))/GETPIVOTDATA("Sum of E_fixed_cost",$N$35,"model_type","envelope","rho",N44),8)&gt;=0</f>
        <v>1</v>
      </c>
    </row>
    <row r="45" spans="1:19" x14ac:dyDescent="0.25">
      <c r="A45" s="4" t="s">
        <v>63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N45" s="3">
        <v>0.8</v>
      </c>
      <c r="O45" s="15">
        <v>57486.303755999797</v>
      </c>
      <c r="P45" s="15">
        <v>52685.298613999897</v>
      </c>
      <c r="Q45" s="15">
        <v>56390.979291999902</v>
      </c>
      <c r="R45" s="15">
        <v>51215.538215999797</v>
      </c>
      <c r="S45" t="b">
        <f>ROUND((GETPIVOTDATA("Sum of E_fixed_cost",$N$35,"model_type","e-reserve","rho",N45)-GETPIVOTDATA("Sum of E_fixed_cost",$N$35,"model_type","envelope","rho",N45))/GETPIVOTDATA("Sum of E_fixed_cost",$N$35,"model_type","envelope","rho",N45),8)&gt;=0</f>
        <v>1</v>
      </c>
    </row>
    <row r="46" spans="1:19" x14ac:dyDescent="0.25">
      <c r="A46" s="4" t="s">
        <v>64</v>
      </c>
      <c r="B46" s="9">
        <v>9.9048019109000095E-3</v>
      </c>
      <c r="C46" s="9">
        <v>9.6977837672500202E-3</v>
      </c>
      <c r="D46" s="9">
        <v>1.0291565842974901E-2</v>
      </c>
      <c r="E46" s="9">
        <v>9.9448435359500102E-3</v>
      </c>
      <c r="F46" s="9">
        <v>9.8976117661999808E-3</v>
      </c>
      <c r="G46" s="9">
        <v>9.95232179222502E-3</v>
      </c>
      <c r="H46" s="9">
        <v>9.9639769085749803E-3</v>
      </c>
      <c r="I46" s="9">
        <v>9.8187535599999695E-3</v>
      </c>
      <c r="J46" s="9">
        <v>9.9146086081499801E-3</v>
      </c>
      <c r="K46" s="9">
        <v>1.01282941631249E-2</v>
      </c>
      <c r="L46" s="9">
        <v>8.5372950844499994E-3</v>
      </c>
      <c r="N46" s="3">
        <v>0.9</v>
      </c>
      <c r="O46" s="15">
        <v>57213.661775999899</v>
      </c>
      <c r="P46" s="15">
        <v>56395.735836</v>
      </c>
      <c r="Q46" s="15">
        <v>56668.377816</v>
      </c>
      <c r="R46" s="15">
        <v>52557.493361999899</v>
      </c>
      <c r="S46" t="b">
        <f>ROUND((GETPIVOTDATA("Sum of E_fixed_cost",$N$35,"model_type","e-reserve","rho",N46)-GETPIVOTDATA("Sum of E_fixed_cost",$N$35,"model_type","envelope","rho",N46))/GETPIVOTDATA("Sum of E_fixed_cost",$N$35,"model_type","envelope","rho",N46),8)&gt;=0</f>
        <v>1</v>
      </c>
    </row>
    <row r="47" spans="1:19" x14ac:dyDescent="0.25">
      <c r="A47" s="3" t="s">
        <v>93</v>
      </c>
      <c r="N47" s="3">
        <v>0.99</v>
      </c>
      <c r="O47" s="15">
        <v>56663.6212719998</v>
      </c>
      <c r="P47" s="15">
        <v>56668.377816</v>
      </c>
      <c r="Q47" s="15">
        <v>56668.377816</v>
      </c>
      <c r="R47" s="15">
        <v>52685.298613999897</v>
      </c>
      <c r="S47" t="b">
        <f>ROUND((GETPIVOTDATA("Sum of E_fixed_cost",$N$35,"model_type","e-reserve","rho",N47)-GETPIVOTDATA("Sum of E_fixed_cost",$N$35,"model_type","envelope","rho",N47))/GETPIVOTDATA("Sum of E_fixed_cost",$N$35,"model_type","envelope","rho",N47),8)&gt;=0</f>
        <v>1</v>
      </c>
    </row>
    <row r="48" spans="1:19" x14ac:dyDescent="0.25">
      <c r="A48" s="4" t="s">
        <v>26</v>
      </c>
      <c r="B48" s="6">
        <v>800627.12554519298</v>
      </c>
      <c r="C48" s="6">
        <v>800160.24879398395</v>
      </c>
      <c r="D48" s="6">
        <v>800452.98393105401</v>
      </c>
      <c r="E48" s="6">
        <v>800411.43836264196</v>
      </c>
      <c r="F48" s="6">
        <v>800162.66154056799</v>
      </c>
      <c r="G48" s="6">
        <v>800062.58745588898</v>
      </c>
      <c r="H48" s="6">
        <v>800598.88948909903</v>
      </c>
      <c r="I48" s="6">
        <v>802775.11097283603</v>
      </c>
      <c r="J48" s="6">
        <v>804182.05083922995</v>
      </c>
      <c r="K48" s="6">
        <v>805560.34005512903</v>
      </c>
      <c r="L48" s="6">
        <v>805351.03552450298</v>
      </c>
    </row>
    <row r="49" spans="1:19" x14ac:dyDescent="0.25">
      <c r="A49" s="4" t="s">
        <v>47</v>
      </c>
      <c r="B49" s="6">
        <v>800627.08240833401</v>
      </c>
      <c r="C49" s="6">
        <v>800079.35220734705</v>
      </c>
      <c r="D49" s="6">
        <v>800452.98393105401</v>
      </c>
      <c r="E49" s="6">
        <v>800411.43836264196</v>
      </c>
      <c r="F49" s="6">
        <v>800162.66154056799</v>
      </c>
      <c r="G49" s="6">
        <v>800062.58745588898</v>
      </c>
      <c r="H49" s="6">
        <v>802691.45865847101</v>
      </c>
      <c r="I49" s="6">
        <v>803581.04312342801</v>
      </c>
      <c r="J49" s="6">
        <v>805872.16386815405</v>
      </c>
      <c r="K49" s="6">
        <v>805930.40261245298</v>
      </c>
      <c r="L49" s="6">
        <v>805380.27265654295</v>
      </c>
    </row>
    <row r="50" spans="1:19" x14ac:dyDescent="0.25">
      <c r="A50" s="4" t="s">
        <v>63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9" x14ac:dyDescent="0.25">
      <c r="A51" s="4" t="s">
        <v>64</v>
      </c>
      <c r="B51" s="6">
        <v>808058.20519708702</v>
      </c>
      <c r="C51" s="6">
        <v>807863.58595929004</v>
      </c>
      <c r="D51" s="6">
        <v>811588.95739321795</v>
      </c>
      <c r="E51" s="6">
        <v>808877.04391500296</v>
      </c>
      <c r="F51" s="6">
        <v>807195.25815372705</v>
      </c>
      <c r="G51" s="6">
        <v>814114.00156710099</v>
      </c>
      <c r="H51" s="6">
        <v>810987.90871353599</v>
      </c>
      <c r="I51" s="6">
        <v>807595.43575979699</v>
      </c>
      <c r="J51" s="6">
        <v>807664.97472520999</v>
      </c>
      <c r="K51" s="6">
        <v>813620.18002746103</v>
      </c>
      <c r="L51" s="6">
        <v>805431.84465834498</v>
      </c>
    </row>
    <row r="52" spans="1:19" x14ac:dyDescent="0.25">
      <c r="A52" s="3" t="s">
        <v>83</v>
      </c>
    </row>
    <row r="53" spans="1:19" x14ac:dyDescent="0.25">
      <c r="A53" s="4" t="s">
        <v>26</v>
      </c>
      <c r="B53" s="11">
        <v>2.7874346124008199E-5</v>
      </c>
      <c r="C53" s="11">
        <v>3.3504479797556899E-5</v>
      </c>
      <c r="D53" s="11">
        <v>1.01804023142904E-5</v>
      </c>
      <c r="E53" s="11">
        <v>1.4445572160184299E-5</v>
      </c>
      <c r="F53" s="11">
        <v>-2.0018161740154E-6</v>
      </c>
      <c r="G53" s="11">
        <v>1.0692712385207401E-5</v>
      </c>
      <c r="H53" s="11">
        <v>2.17849877662956E-5</v>
      </c>
      <c r="I53" s="11">
        <v>1.46526703611016E-5</v>
      </c>
      <c r="J53" s="11">
        <v>3.16561583895236E-5</v>
      </c>
      <c r="K53" s="11">
        <v>4.3795808451250101E-5</v>
      </c>
      <c r="L53" s="11">
        <v>2.38335691392421E-5</v>
      </c>
      <c r="N53" s="2" t="s">
        <v>65</v>
      </c>
      <c r="O53" s="2" t="s">
        <v>68</v>
      </c>
    </row>
    <row r="54" spans="1:19" x14ac:dyDescent="0.25">
      <c r="A54" s="4" t="s">
        <v>47</v>
      </c>
      <c r="B54" s="11">
        <v>2.6253380347043199E-5</v>
      </c>
      <c r="C54" s="11">
        <v>1.7108697211369801E-5</v>
      </c>
      <c r="D54" s="11">
        <v>1.05045887175947E-5</v>
      </c>
      <c r="E54" s="11">
        <v>9.3274796381592702E-6</v>
      </c>
      <c r="F54" s="11">
        <v>7.2435941547155304E-8</v>
      </c>
      <c r="G54" s="11">
        <v>1.9385886844247502E-6</v>
      </c>
      <c r="H54" s="11">
        <v>4.6182458754628897E-6</v>
      </c>
      <c r="I54" s="11">
        <v>8.4369676187634404E-8</v>
      </c>
      <c r="J54" s="11">
        <v>2.71883676759898E-6</v>
      </c>
      <c r="K54" s="11">
        <v>1.86583551112562E-5</v>
      </c>
      <c r="L54" s="11">
        <v>2.13153415825217E-5</v>
      </c>
      <c r="N54" s="2" t="s">
        <v>59</v>
      </c>
      <c r="O54" t="s">
        <v>64</v>
      </c>
      <c r="P54" t="s">
        <v>26</v>
      </c>
      <c r="Q54" t="s">
        <v>47</v>
      </c>
      <c r="R54" t="s">
        <v>63</v>
      </c>
      <c r="S54" t="s">
        <v>60</v>
      </c>
    </row>
    <row r="55" spans="1:19" x14ac:dyDescent="0.25">
      <c r="A55" s="4" t="s">
        <v>63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N55" s="3">
        <v>0</v>
      </c>
      <c r="O55" s="6">
        <v>808058.21512385004</v>
      </c>
      <c r="P55" s="6">
        <v>800627.13547786896</v>
      </c>
      <c r="Q55" s="6">
        <v>800627.09233938903</v>
      </c>
      <c r="R55" s="6">
        <v>796469.72021323501</v>
      </c>
      <c r="S55" s="6">
        <v>3205782.1631543427</v>
      </c>
    </row>
    <row r="56" spans="1:19" x14ac:dyDescent="0.25">
      <c r="A56" s="4" t="s">
        <v>64</v>
      </c>
      <c r="B56" s="11">
        <v>2.19616270624101E-5</v>
      </c>
      <c r="C56" s="11">
        <v>8.4140058606862999E-6</v>
      </c>
      <c r="D56" s="11">
        <v>-2.1837465465068802E-6</v>
      </c>
      <c r="E56" s="11">
        <v>8.1525300629436899E-6</v>
      </c>
      <c r="F56" s="11">
        <v>-7.1469193790107897E-6</v>
      </c>
      <c r="G56" s="11">
        <v>-2.1993858623318299E-4</v>
      </c>
      <c r="H56" s="11">
        <v>-9.0023735538124997E-5</v>
      </c>
      <c r="I56" s="11">
        <v>5.5110035464167599E-6</v>
      </c>
      <c r="J56" s="11">
        <v>1.2284561526030301E-5</v>
      </c>
      <c r="K56" s="11">
        <v>-1.85489653376862E-4</v>
      </c>
      <c r="L56" s="11">
        <v>1.5875028911977999E-5</v>
      </c>
      <c r="N56" s="3">
        <v>0.1</v>
      </c>
      <c r="O56" s="6">
        <v>807863.595665487</v>
      </c>
      <c r="P56" s="6">
        <v>800160.25852527295</v>
      </c>
      <c r="Q56" s="6">
        <v>800079.36192223802</v>
      </c>
      <c r="R56" s="6">
        <v>795440.87862226204</v>
      </c>
      <c r="S56" s="6">
        <v>3203544.0947352601</v>
      </c>
    </row>
    <row r="57" spans="1:19" x14ac:dyDescent="0.25">
      <c r="N57" s="3">
        <v>0.2</v>
      </c>
      <c r="O57" s="6">
        <v>811588.96768260002</v>
      </c>
      <c r="P57" s="6">
        <v>806827.56661677605</v>
      </c>
      <c r="Q57" s="6">
        <v>800452.99423312396</v>
      </c>
      <c r="R57" s="6">
        <v>796642.78684675996</v>
      </c>
      <c r="S57" s="6">
        <v>3215512.3153792601</v>
      </c>
    </row>
    <row r="58" spans="1:19" x14ac:dyDescent="0.25">
      <c r="N58" s="3">
        <v>0.3</v>
      </c>
      <c r="O58" s="6">
        <v>808877.053867999</v>
      </c>
      <c r="P58" s="6">
        <v>820628.88878700696</v>
      </c>
      <c r="Q58" s="6">
        <v>800411.44831681205</v>
      </c>
      <c r="R58" s="6">
        <v>796530.57316235895</v>
      </c>
      <c r="S58" s="6">
        <v>3226447.9641341772</v>
      </c>
    </row>
    <row r="59" spans="1:19" x14ac:dyDescent="0.25">
      <c r="N59" s="3">
        <v>0.4</v>
      </c>
      <c r="O59" s="6">
        <v>807195.26804419304</v>
      </c>
      <c r="P59" s="6">
        <v>800162.67143617896</v>
      </c>
      <c r="Q59" s="6">
        <v>800162.67143825302</v>
      </c>
      <c r="R59" s="6">
        <v>795701.56489834096</v>
      </c>
      <c r="S59" s="6">
        <v>3203222.1758169662</v>
      </c>
    </row>
    <row r="60" spans="1:19" x14ac:dyDescent="0.25">
      <c r="N60" s="3">
        <v>0.5</v>
      </c>
      <c r="O60" s="6">
        <v>814114.01129948499</v>
      </c>
      <c r="P60" s="6">
        <v>800062.59741890396</v>
      </c>
      <c r="Q60" s="6">
        <v>800062.59741014999</v>
      </c>
      <c r="R60" s="6">
        <v>795008.51956981199</v>
      </c>
      <c r="S60" s="6">
        <v>3209247.7256983509</v>
      </c>
    </row>
    <row r="61" spans="1:19" x14ac:dyDescent="0.25">
      <c r="N61" s="3">
        <v>0.6</v>
      </c>
      <c r="O61" s="6">
        <v>810987.91858748998</v>
      </c>
      <c r="P61" s="6">
        <v>800598.89947486203</v>
      </c>
      <c r="Q61" s="6">
        <v>802691.46862706495</v>
      </c>
      <c r="R61" s="6">
        <v>796231.62824480399</v>
      </c>
      <c r="S61" s="6">
        <v>3210509.9149342207</v>
      </c>
    </row>
    <row r="62" spans="1:19" x14ac:dyDescent="0.25">
      <c r="N62" s="3">
        <v>0.7</v>
      </c>
      <c r="O62" s="6">
        <v>807595.44558406202</v>
      </c>
      <c r="P62" s="6">
        <v>802775.12080624094</v>
      </c>
      <c r="Q62" s="6">
        <v>803581.05294226599</v>
      </c>
      <c r="R62" s="6">
        <v>795787.74027260696</v>
      </c>
      <c r="S62" s="6">
        <v>3209739.3596051754</v>
      </c>
    </row>
    <row r="63" spans="1:19" x14ac:dyDescent="0.25">
      <c r="N63" s="3">
        <v>0.8</v>
      </c>
      <c r="O63" s="6">
        <v>807664.98465210304</v>
      </c>
      <c r="P63" s="6">
        <v>804182.06078549498</v>
      </c>
      <c r="Q63" s="6">
        <v>805872.17378548195</v>
      </c>
      <c r="R63" s="6">
        <v>796913.55073846295</v>
      </c>
      <c r="S63" s="6">
        <v>3214632.7699615434</v>
      </c>
    </row>
    <row r="64" spans="1:19" x14ac:dyDescent="0.25">
      <c r="N64" s="3">
        <v>0.9</v>
      </c>
      <c r="O64" s="6">
        <v>813620.18997026596</v>
      </c>
      <c r="P64" s="6">
        <v>805560.35022721905</v>
      </c>
      <c r="Q64" s="6">
        <v>805930.41275940603</v>
      </c>
      <c r="R64" s="6">
        <v>798838.70893101301</v>
      </c>
      <c r="S64" s="6">
        <v>3223949.6618879042</v>
      </c>
    </row>
    <row r="65" spans="14:19" x14ac:dyDescent="0.25">
      <c r="N65" s="3">
        <v>0.99</v>
      </c>
      <c r="O65" s="6">
        <v>805431.85321151605</v>
      </c>
      <c r="P65" s="6">
        <v>811591.75319991005</v>
      </c>
      <c r="Q65" s="6">
        <v>805380.281215152</v>
      </c>
      <c r="R65" s="6">
        <v>800584.98286941496</v>
      </c>
      <c r="S65" s="6">
        <v>3222988.8704959932</v>
      </c>
    </row>
    <row r="66" spans="14:19" x14ac:dyDescent="0.25">
      <c r="N66" s="3" t="s">
        <v>60</v>
      </c>
      <c r="O66">
        <v>8902997.5036890507</v>
      </c>
      <c r="P66">
        <v>8853177.302755734</v>
      </c>
      <c r="Q66">
        <v>8825251.5549893361</v>
      </c>
      <c r="R66">
        <v>8764150.6543690711</v>
      </c>
      <c r="S66">
        <v>35345577.015803188</v>
      </c>
    </row>
  </sheetData>
  <conditionalFormatting pivot="1" sqref="J13:J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8:L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3:L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L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B9B7-9F29-4C0E-9656-9606D3C052B8}">
  <dimension ref="A3:N72"/>
  <sheetViews>
    <sheetView topLeftCell="A37" workbookViewId="0">
      <selection activeCell="A3" sqref="A3"/>
    </sheetView>
  </sheetViews>
  <sheetFormatPr defaultRowHeight="15" x14ac:dyDescent="0.25"/>
  <cols>
    <col min="1" max="1" width="15.85546875" bestFit="1" customWidth="1"/>
    <col min="2" max="2" width="19.28515625" bestFit="1" customWidth="1"/>
    <col min="3" max="3" width="24.7109375" bestFit="1" customWidth="1"/>
    <col min="4" max="4" width="17.5703125" bestFit="1" customWidth="1"/>
    <col min="5" max="5" width="18.85546875" bestFit="1" customWidth="1"/>
    <col min="6" max="6" width="15.7109375" bestFit="1" customWidth="1"/>
    <col min="7" max="7" width="17.5703125" bestFit="1" customWidth="1"/>
    <col min="8" max="8" width="18.85546875" bestFit="1" customWidth="1"/>
    <col min="9" max="9" width="22.42578125" bestFit="1" customWidth="1"/>
    <col min="10" max="10" width="19" bestFit="1" customWidth="1"/>
    <col min="11" max="11" width="20.42578125" bestFit="1" customWidth="1"/>
    <col min="12" max="12" width="15.85546875" bestFit="1" customWidth="1"/>
    <col min="13" max="13" width="17.5703125" bestFit="1" customWidth="1"/>
    <col min="14" max="14" width="18.85546875" bestFit="1" customWidth="1"/>
    <col min="15" max="15" width="22.42578125" bestFit="1" customWidth="1"/>
    <col min="16" max="16" width="22.140625" bestFit="1" customWidth="1"/>
    <col min="17" max="17" width="15.85546875" bestFit="1" customWidth="1"/>
    <col min="18" max="18" width="22.42578125" bestFit="1" customWidth="1"/>
    <col min="19" max="19" width="15.85546875" bestFit="1" customWidth="1"/>
    <col min="20" max="20" width="17.28515625" bestFit="1" customWidth="1"/>
    <col min="21" max="21" width="23.85546875" bestFit="1" customWidth="1"/>
    <col min="22" max="22" width="19" bestFit="1" customWidth="1"/>
    <col min="23" max="23" width="20.42578125" bestFit="1" customWidth="1"/>
    <col min="24" max="24" width="27" bestFit="1" customWidth="1"/>
  </cols>
  <sheetData>
    <row r="3" spans="1:14" x14ac:dyDescent="0.25">
      <c r="A3" s="2" t="s">
        <v>59</v>
      </c>
      <c r="B3" t="s">
        <v>81</v>
      </c>
      <c r="C3" t="s">
        <v>82</v>
      </c>
      <c r="D3" t="s">
        <v>70</v>
      </c>
      <c r="E3" t="s">
        <v>71</v>
      </c>
      <c r="F3" t="s">
        <v>109</v>
      </c>
      <c r="L3" s="2" t="s">
        <v>59</v>
      </c>
      <c r="M3" t="s">
        <v>70</v>
      </c>
      <c r="N3" t="s">
        <v>71</v>
      </c>
    </row>
    <row r="4" spans="1:14" x14ac:dyDescent="0.25">
      <c r="A4" s="3">
        <v>0</v>
      </c>
      <c r="B4">
        <v>211132.91840399921</v>
      </c>
      <c r="C4">
        <v>2994649.2150359363</v>
      </c>
      <c r="D4">
        <v>0</v>
      </c>
      <c r="E4">
        <v>0</v>
      </c>
      <c r="G4" s="12"/>
      <c r="H4" s="12"/>
      <c r="L4" s="3">
        <v>0</v>
      </c>
      <c r="M4">
        <v>0</v>
      </c>
      <c r="N4">
        <v>0</v>
      </c>
    </row>
    <row r="5" spans="1:14" x14ac:dyDescent="0.25">
      <c r="A5" s="4" t="s">
        <v>63</v>
      </c>
      <c r="B5">
        <v>51215.538215999797</v>
      </c>
      <c r="C5">
        <v>745254.18199723505</v>
      </c>
      <c r="D5">
        <v>0</v>
      </c>
      <c r="E5">
        <v>0</v>
      </c>
      <c r="G5" s="12"/>
      <c r="H5" s="12"/>
      <c r="L5" s="4" t="s">
        <v>63</v>
      </c>
      <c r="M5">
        <v>0</v>
      </c>
      <c r="N5">
        <v>0</v>
      </c>
    </row>
    <row r="6" spans="1:14" x14ac:dyDescent="0.25">
      <c r="A6" s="4" t="s">
        <v>47</v>
      </c>
      <c r="B6">
        <v>51215.538215999797</v>
      </c>
      <c r="C6">
        <v>749411.54421858699</v>
      </c>
      <c r="D6">
        <v>0</v>
      </c>
      <c r="E6">
        <v>0</v>
      </c>
      <c r="G6" s="12"/>
      <c r="H6" s="12"/>
      <c r="L6" s="4" t="s">
        <v>47</v>
      </c>
      <c r="M6">
        <v>0</v>
      </c>
      <c r="N6">
        <v>0</v>
      </c>
    </row>
    <row r="7" spans="1:14" x14ac:dyDescent="0.25">
      <c r="A7" s="4" t="s">
        <v>26</v>
      </c>
      <c r="B7">
        <v>51215.538215999797</v>
      </c>
      <c r="C7">
        <v>749411.58735706599</v>
      </c>
      <c r="D7">
        <v>0</v>
      </c>
      <c r="E7">
        <v>0</v>
      </c>
      <c r="G7" s="12">
        <f>GETPIVOTDATA("Sum of E_fixed_cost",$A$3,"model_type",$A6,"rho",$A4)-GETPIVOTDATA("Sum of E_fixed_cost",$A$3,"model_type",$A7,"rho",$A4)</f>
        <v>0</v>
      </c>
      <c r="H7" s="12">
        <f>GETPIVOTDATA("Sum of E_production_cost",$A$3,"model_type",$A6,"rho",$A4)-GETPIVOTDATA("Sum of E_production_cost",$A$3,"model_type",$A7,"rho",$A4)</f>
        <v>-4.313847899902612E-2</v>
      </c>
      <c r="L7" s="4" t="s">
        <v>26</v>
      </c>
      <c r="M7">
        <v>0</v>
      </c>
      <c r="N7">
        <v>0</v>
      </c>
    </row>
    <row r="8" spans="1:14" x14ac:dyDescent="0.25">
      <c r="A8" s="4" t="s">
        <v>64</v>
      </c>
      <c r="B8">
        <v>57486.303755999797</v>
      </c>
      <c r="C8">
        <v>750571.90146304795</v>
      </c>
      <c r="D8">
        <v>0</v>
      </c>
      <c r="E8">
        <v>0</v>
      </c>
      <c r="G8" s="12"/>
      <c r="H8" s="12"/>
      <c r="L8" s="4" t="s">
        <v>64</v>
      </c>
      <c r="M8">
        <v>0</v>
      </c>
      <c r="N8">
        <v>0</v>
      </c>
    </row>
    <row r="9" spans="1:14" x14ac:dyDescent="0.25">
      <c r="A9" s="3">
        <v>0.1</v>
      </c>
      <c r="B9">
        <v>210582.8778999995</v>
      </c>
      <c r="C9">
        <v>2992961.1877419101</v>
      </c>
      <c r="D9">
        <v>0</v>
      </c>
      <c r="E9">
        <v>0</v>
      </c>
      <c r="G9" s="12"/>
      <c r="H9" s="12"/>
      <c r="L9" s="3">
        <v>0.1</v>
      </c>
      <c r="M9">
        <v>0</v>
      </c>
      <c r="N9">
        <v>0</v>
      </c>
    </row>
    <row r="10" spans="1:14" x14ac:dyDescent="0.25">
      <c r="A10" s="4" t="s">
        <v>63</v>
      </c>
      <c r="B10">
        <v>51215.538215999797</v>
      </c>
      <c r="C10">
        <v>744225.34040626197</v>
      </c>
      <c r="D10">
        <v>0</v>
      </c>
      <c r="E10">
        <v>0</v>
      </c>
      <c r="G10" s="12"/>
      <c r="H10" s="12"/>
      <c r="L10" s="4" t="s">
        <v>63</v>
      </c>
      <c r="M10">
        <v>0</v>
      </c>
      <c r="N10">
        <v>0</v>
      </c>
    </row>
    <row r="11" spans="1:14" x14ac:dyDescent="0.25">
      <c r="A11" s="4" t="s">
        <v>47</v>
      </c>
      <c r="B11">
        <v>50938.139691999997</v>
      </c>
      <c r="C11">
        <v>749141.21253245499</v>
      </c>
      <c r="D11">
        <v>0</v>
      </c>
      <c r="E11">
        <v>0</v>
      </c>
      <c r="G11" s="12"/>
      <c r="H11" s="12"/>
      <c r="L11" s="4" t="s">
        <v>47</v>
      </c>
      <c r="M11">
        <v>0</v>
      </c>
      <c r="N11">
        <v>0</v>
      </c>
    </row>
    <row r="12" spans="1:14" x14ac:dyDescent="0.25">
      <c r="A12" s="4" t="s">
        <v>26</v>
      </c>
      <c r="B12">
        <v>51215.538215999797</v>
      </c>
      <c r="C12">
        <v>748944.71061148902</v>
      </c>
      <c r="D12">
        <v>0</v>
      </c>
      <c r="E12">
        <v>0</v>
      </c>
      <c r="G12" s="12">
        <f>GETPIVOTDATA("Sum of E_fixed_cost",$A$3,"model_type",A11,"rho",A9)-GETPIVOTDATA("Sum of E_fixed_cost",$A$3,"model_type",A12,"rho",A9)</f>
        <v>-277.39852399980009</v>
      </c>
      <c r="H12" s="12">
        <f>GETPIVOTDATA("Sum of E_production_cost",$A$3,"model_type",$A11,"rho",$A9)-GETPIVOTDATA("Sum of E_production_cost",$A$3,"model_type",$A12,"rho",$A9)</f>
        <v>196.50192096596584</v>
      </c>
      <c r="I12" s="8"/>
      <c r="L12" s="4" t="s">
        <v>26</v>
      </c>
      <c r="M12">
        <v>0</v>
      </c>
      <c r="N12">
        <v>0</v>
      </c>
    </row>
    <row r="13" spans="1:14" x14ac:dyDescent="0.25">
      <c r="A13" s="4" t="s">
        <v>64</v>
      </c>
      <c r="B13">
        <v>57213.661775999899</v>
      </c>
      <c r="C13">
        <v>750649.92419170402</v>
      </c>
      <c r="D13">
        <v>0</v>
      </c>
      <c r="E13">
        <v>0</v>
      </c>
      <c r="G13" s="12"/>
      <c r="H13" s="12"/>
      <c r="L13" s="4" t="s">
        <v>64</v>
      </c>
      <c r="M13">
        <v>0</v>
      </c>
      <c r="N13">
        <v>0</v>
      </c>
    </row>
    <row r="14" spans="1:14" x14ac:dyDescent="0.25">
      <c r="A14" s="3">
        <v>0.2</v>
      </c>
      <c r="B14">
        <v>211132.91840399921</v>
      </c>
      <c r="C14">
        <v>2998004.7937165881</v>
      </c>
      <c r="D14">
        <v>6374.5723839761304</v>
      </c>
      <c r="E14">
        <v>-8.6970430857036196E-13</v>
      </c>
      <c r="G14" s="12"/>
      <c r="H14" s="12"/>
      <c r="L14" s="3">
        <v>0.2</v>
      </c>
      <c r="M14">
        <v>6374.5723839761304</v>
      </c>
      <c r="N14">
        <v>-8.6970430857036196E-13</v>
      </c>
    </row>
    <row r="15" spans="1:14" x14ac:dyDescent="0.25">
      <c r="A15" s="4" t="s">
        <v>63</v>
      </c>
      <c r="B15">
        <v>51215.538215999797</v>
      </c>
      <c r="C15">
        <v>745427.24863076</v>
      </c>
      <c r="D15">
        <v>0</v>
      </c>
      <c r="E15">
        <v>0</v>
      </c>
      <c r="G15" s="12"/>
      <c r="H15" s="12"/>
      <c r="L15" s="4" t="s">
        <v>63</v>
      </c>
      <c r="M15">
        <v>0</v>
      </c>
      <c r="N15">
        <v>0</v>
      </c>
    </row>
    <row r="16" spans="1:14" x14ac:dyDescent="0.25">
      <c r="A16" s="4" t="s">
        <v>47</v>
      </c>
      <c r="B16">
        <v>51215.538215999797</v>
      </c>
      <c r="C16">
        <v>749237.44572555902</v>
      </c>
      <c r="D16">
        <v>0</v>
      </c>
      <c r="E16">
        <v>-8.6970430857036196E-13</v>
      </c>
      <c r="G16" s="12"/>
      <c r="H16" s="12"/>
      <c r="L16" s="4" t="s">
        <v>47</v>
      </c>
      <c r="M16">
        <v>0</v>
      </c>
      <c r="N16">
        <v>-8.6970430857036196E-13</v>
      </c>
    </row>
    <row r="17" spans="1:14" x14ac:dyDescent="0.25">
      <c r="A17" s="4" t="s">
        <v>26</v>
      </c>
      <c r="B17">
        <v>51215.538215999797</v>
      </c>
      <c r="C17">
        <v>749237.44572523504</v>
      </c>
      <c r="D17">
        <v>6374.5723839761304</v>
      </c>
      <c r="E17">
        <v>0</v>
      </c>
      <c r="G17" s="12">
        <f>GETPIVOTDATA("Sum of E_fixed_cost",$A$3,"model_type",A16,"rho",A14)-GETPIVOTDATA("Sum of E_fixed_cost",$A$3,"model_type",A17,"rho",A14)</f>
        <v>0</v>
      </c>
      <c r="H17" s="12">
        <f>GETPIVOTDATA("Sum of E_production_cost",$A$3,"model_type",$A16,"rho",$A14)-GETPIVOTDATA("Sum of E_production_cost",$A$3,"model_type",$A17,"rho",$A14)</f>
        <v>3.2398384064435959E-7</v>
      </c>
      <c r="L17" s="4" t="s">
        <v>26</v>
      </c>
      <c r="M17">
        <v>6374.5723839761304</v>
      </c>
      <c r="N17">
        <v>0</v>
      </c>
    </row>
    <row r="18" spans="1:14" x14ac:dyDescent="0.25">
      <c r="A18" s="4" t="s">
        <v>64</v>
      </c>
      <c r="B18">
        <v>57486.303755999797</v>
      </c>
      <c r="C18">
        <v>754102.65363503399</v>
      </c>
      <c r="D18">
        <v>0</v>
      </c>
      <c r="E18">
        <v>0</v>
      </c>
      <c r="G18" s="12"/>
      <c r="H18" s="12"/>
      <c r="L18" s="4" t="s">
        <v>64</v>
      </c>
      <c r="M18">
        <v>0</v>
      </c>
      <c r="N18">
        <v>0</v>
      </c>
    </row>
    <row r="19" spans="1:14" x14ac:dyDescent="0.25">
      <c r="A19" s="3">
        <v>0.3</v>
      </c>
      <c r="B19">
        <v>211132.91840399921</v>
      </c>
      <c r="C19">
        <v>2995097.5754305678</v>
      </c>
      <c r="D19">
        <v>20217.440465076899</v>
      </c>
      <c r="E19">
        <v>0</v>
      </c>
      <c r="G19" s="12"/>
      <c r="H19" s="12"/>
      <c r="L19" s="3">
        <v>0.3</v>
      </c>
      <c r="M19">
        <v>20217.440465076899</v>
      </c>
      <c r="N19">
        <v>0</v>
      </c>
    </row>
    <row r="20" spans="1:14" x14ac:dyDescent="0.25">
      <c r="A20" s="4" t="s">
        <v>63</v>
      </c>
      <c r="B20">
        <v>51215.538215999797</v>
      </c>
      <c r="C20">
        <v>745315.034946359</v>
      </c>
      <c r="D20">
        <v>0</v>
      </c>
      <c r="E20">
        <v>0</v>
      </c>
      <c r="G20" s="12"/>
      <c r="H20" s="12"/>
      <c r="L20" s="4" t="s">
        <v>63</v>
      </c>
      <c r="M20">
        <v>0</v>
      </c>
      <c r="N20">
        <v>0</v>
      </c>
    </row>
    <row r="21" spans="1:14" x14ac:dyDescent="0.25">
      <c r="A21" s="4" t="s">
        <v>47</v>
      </c>
      <c r="B21">
        <v>51215.538215999797</v>
      </c>
      <c r="C21">
        <v>749195.90015596803</v>
      </c>
      <c r="D21">
        <v>0</v>
      </c>
      <c r="E21">
        <v>0</v>
      </c>
      <c r="G21" s="12"/>
      <c r="H21" s="12"/>
      <c r="L21" s="4" t="s">
        <v>47</v>
      </c>
      <c r="M21">
        <v>0</v>
      </c>
      <c r="N21">
        <v>0</v>
      </c>
    </row>
    <row r="22" spans="1:14" x14ac:dyDescent="0.25">
      <c r="A22" s="4" t="s">
        <v>26</v>
      </c>
      <c r="B22">
        <v>51215.538215999797</v>
      </c>
      <c r="C22">
        <v>749195.900161086</v>
      </c>
      <c r="D22">
        <v>20217.440465076899</v>
      </c>
      <c r="E22">
        <v>0</v>
      </c>
      <c r="G22" s="12">
        <f>GETPIVOTDATA("Sum of E_fixed_cost",$A$3,"model_type",A21,"rho",A19)-GETPIVOTDATA("Sum of E_fixed_cost",$A$3,"model_type",A22,"rho",A19)</f>
        <v>0</v>
      </c>
      <c r="H22" s="12">
        <f>GETPIVOTDATA("Sum of E_production_cost",$A$3,"model_type",$A21,"rho",$A19)-GETPIVOTDATA("Sum of E_production_cost",$A$3,"model_type",$A22,"rho",$A19)</f>
        <v>-5.1179667934775352E-6</v>
      </c>
      <c r="L22" s="4" t="s">
        <v>26</v>
      </c>
      <c r="M22">
        <v>20217.440465076899</v>
      </c>
      <c r="N22">
        <v>0</v>
      </c>
    </row>
    <row r="23" spans="1:14" x14ac:dyDescent="0.25">
      <c r="A23" s="4" t="s">
        <v>64</v>
      </c>
      <c r="B23">
        <v>57486.303755999797</v>
      </c>
      <c r="C23">
        <v>751390.74016715505</v>
      </c>
      <c r="D23">
        <v>0</v>
      </c>
      <c r="E23">
        <v>0</v>
      </c>
      <c r="G23" s="12"/>
      <c r="H23" s="12"/>
      <c r="L23" s="4" t="s">
        <v>64</v>
      </c>
      <c r="M23">
        <v>0</v>
      </c>
      <c r="N23">
        <v>0</v>
      </c>
    </row>
    <row r="24" spans="1:14" x14ac:dyDescent="0.25">
      <c r="A24" s="3">
        <v>0.4</v>
      </c>
      <c r="B24">
        <v>210860.27642399931</v>
      </c>
      <c r="C24">
        <v>2992361.869700131</v>
      </c>
      <c r="D24">
        <v>0</v>
      </c>
      <c r="E24">
        <v>0</v>
      </c>
      <c r="G24" s="12"/>
      <c r="H24" s="12"/>
      <c r="L24" s="3">
        <v>0.4</v>
      </c>
      <c r="M24">
        <v>0</v>
      </c>
      <c r="N24">
        <v>0</v>
      </c>
    </row>
    <row r="25" spans="1:14" x14ac:dyDescent="0.25">
      <c r="A25" s="4" t="s">
        <v>63</v>
      </c>
      <c r="B25">
        <v>51215.538215999797</v>
      </c>
      <c r="C25">
        <v>744486.02668234101</v>
      </c>
      <c r="D25">
        <v>0</v>
      </c>
      <c r="E25">
        <v>0</v>
      </c>
      <c r="G25" s="12"/>
      <c r="H25" s="12"/>
      <c r="L25" s="4" t="s">
        <v>63</v>
      </c>
      <c r="M25">
        <v>0</v>
      </c>
      <c r="N25">
        <v>0</v>
      </c>
    </row>
    <row r="26" spans="1:14" x14ac:dyDescent="0.25">
      <c r="A26" s="4" t="s">
        <v>47</v>
      </c>
      <c r="B26">
        <v>51215.538215999797</v>
      </c>
      <c r="C26">
        <v>748947.12332464103</v>
      </c>
      <c r="D26">
        <v>0</v>
      </c>
      <c r="E26">
        <v>0</v>
      </c>
      <c r="G26" s="12"/>
      <c r="H26" s="12"/>
      <c r="L26" s="4" t="s">
        <v>47</v>
      </c>
      <c r="M26">
        <v>0</v>
      </c>
      <c r="N26">
        <v>0</v>
      </c>
    </row>
    <row r="27" spans="1:14" x14ac:dyDescent="0.25">
      <c r="A27" s="4" t="s">
        <v>26</v>
      </c>
      <c r="B27">
        <v>51215.538215999797</v>
      </c>
      <c r="C27">
        <v>748947.12332256697</v>
      </c>
      <c r="D27">
        <v>0</v>
      </c>
      <c r="E27">
        <v>0</v>
      </c>
      <c r="G27" s="12">
        <f>GETPIVOTDATA("Sum of E_fixed_cost",$A$3,"model_type",A26,"rho",A24)-GETPIVOTDATA("Sum of E_fixed_cost",$A$3,"model_type",A27,"rho",A24)</f>
        <v>0</v>
      </c>
      <c r="H27" s="12">
        <f>GETPIVOTDATA("Sum of E_production_cost",$A$3,"model_type",$A26,"rho",$A24)-GETPIVOTDATA("Sum of E_production_cost",$A$3,"model_type",$A27,"rho",$A24)</f>
        <v>2.0740553736686707E-6</v>
      </c>
      <c r="L27" s="4" t="s">
        <v>26</v>
      </c>
      <c r="M27">
        <v>0</v>
      </c>
      <c r="N27">
        <v>0</v>
      </c>
    </row>
    <row r="28" spans="1:14" x14ac:dyDescent="0.25">
      <c r="A28" s="4" t="s">
        <v>64</v>
      </c>
      <c r="B28">
        <v>57213.661775999899</v>
      </c>
      <c r="C28">
        <v>749981.596370582</v>
      </c>
      <c r="D28">
        <v>0</v>
      </c>
      <c r="E28">
        <v>0</v>
      </c>
      <c r="G28" s="12"/>
      <c r="H28" s="12"/>
      <c r="L28" s="4" t="s">
        <v>64</v>
      </c>
      <c r="M28">
        <v>0</v>
      </c>
      <c r="N28">
        <v>0</v>
      </c>
    </row>
    <row r="29" spans="1:14" x14ac:dyDescent="0.25">
      <c r="A29" s="3">
        <v>0.5</v>
      </c>
      <c r="B29">
        <v>210860.27642399931</v>
      </c>
      <c r="C29">
        <v>2998387.419417385</v>
      </c>
      <c r="D29">
        <v>0</v>
      </c>
      <c r="E29">
        <v>0</v>
      </c>
      <c r="G29" s="12"/>
      <c r="H29" s="12"/>
      <c r="L29" s="3">
        <v>0.5</v>
      </c>
      <c r="M29">
        <v>0</v>
      </c>
      <c r="N29">
        <v>0</v>
      </c>
    </row>
    <row r="30" spans="1:14" x14ac:dyDescent="0.25">
      <c r="A30" s="4" t="s">
        <v>63</v>
      </c>
      <c r="B30">
        <v>51215.538215999797</v>
      </c>
      <c r="C30">
        <v>743792.98135381204</v>
      </c>
      <c r="D30">
        <v>0</v>
      </c>
      <c r="E30">
        <v>0</v>
      </c>
      <c r="G30" s="12"/>
      <c r="H30" s="12"/>
      <c r="L30" s="4" t="s">
        <v>63</v>
      </c>
      <c r="M30">
        <v>0</v>
      </c>
      <c r="N30">
        <v>0</v>
      </c>
    </row>
    <row r="31" spans="1:14" x14ac:dyDescent="0.25">
      <c r="A31" s="4" t="s">
        <v>47</v>
      </c>
      <c r="B31">
        <v>51215.538215999797</v>
      </c>
      <c r="C31">
        <v>748847.04924182803</v>
      </c>
      <c r="D31">
        <v>0</v>
      </c>
      <c r="E31">
        <v>0</v>
      </c>
      <c r="G31" s="12"/>
      <c r="H31" s="12"/>
      <c r="L31" s="4" t="s">
        <v>47</v>
      </c>
      <c r="M31">
        <v>0</v>
      </c>
      <c r="N31">
        <v>0</v>
      </c>
    </row>
    <row r="32" spans="1:14" x14ac:dyDescent="0.25">
      <c r="A32" s="4" t="s">
        <v>26</v>
      </c>
      <c r="B32">
        <v>51215.538215999797</v>
      </c>
      <c r="C32">
        <v>748847.049250582</v>
      </c>
      <c r="D32">
        <v>0</v>
      </c>
      <c r="E32">
        <v>0</v>
      </c>
      <c r="G32" s="12">
        <f>GETPIVOTDATA("Sum of E_fixed_cost",$A$3,"model_type",A31,"rho",A29)-GETPIVOTDATA("Sum of E_fixed_cost",$A$3,"model_type",A32,"rho",A29)</f>
        <v>0</v>
      </c>
      <c r="H32" s="12">
        <f>GETPIVOTDATA("Sum of E_production_cost",$A$3,"model_type",$A31,"rho",$A29)-GETPIVOTDATA("Sum of E_production_cost",$A$3,"model_type",$A32,"rho",$A29)</f>
        <v>-8.7539665400981903E-6</v>
      </c>
      <c r="L32" s="4" t="s">
        <v>26</v>
      </c>
      <c r="M32">
        <v>0</v>
      </c>
      <c r="N32">
        <v>0</v>
      </c>
    </row>
    <row r="33" spans="1:14" x14ac:dyDescent="0.25">
      <c r="A33" s="4" t="s">
        <v>64</v>
      </c>
      <c r="B33">
        <v>57213.661775999899</v>
      </c>
      <c r="C33">
        <v>756900.33957116294</v>
      </c>
      <c r="D33">
        <v>0</v>
      </c>
      <c r="E33">
        <v>0</v>
      </c>
      <c r="G33" s="12"/>
      <c r="H33" s="12"/>
      <c r="L33" s="4" t="s">
        <v>64</v>
      </c>
      <c r="M33">
        <v>0</v>
      </c>
      <c r="N33">
        <v>0</v>
      </c>
    </row>
    <row r="34" spans="1:14" x14ac:dyDescent="0.25">
      <c r="A34" s="3">
        <v>0.6</v>
      </c>
      <c r="B34">
        <v>212074.42631799928</v>
      </c>
      <c r="C34">
        <v>2998435.4587242901</v>
      </c>
      <c r="D34">
        <v>0</v>
      </c>
      <c r="E34">
        <v>0</v>
      </c>
      <c r="G34" s="12"/>
      <c r="H34" s="12"/>
      <c r="L34" s="3">
        <v>0.6</v>
      </c>
      <c r="M34">
        <v>0</v>
      </c>
      <c r="N34">
        <v>0</v>
      </c>
    </row>
    <row r="35" spans="1:14" x14ac:dyDescent="0.25">
      <c r="A35" s="4" t="s">
        <v>63</v>
      </c>
      <c r="B35">
        <v>51215.538215999797</v>
      </c>
      <c r="C35">
        <v>745016.09002880403</v>
      </c>
      <c r="D35">
        <v>0</v>
      </c>
      <c r="E35">
        <v>0</v>
      </c>
      <c r="G35" s="12"/>
      <c r="H35" s="12"/>
      <c r="L35" s="4" t="s">
        <v>63</v>
      </c>
      <c r="M35">
        <v>0</v>
      </c>
      <c r="N35">
        <v>0</v>
      </c>
    </row>
    <row r="36" spans="1:14" x14ac:dyDescent="0.25">
      <c r="A36" s="4" t="s">
        <v>47</v>
      </c>
      <c r="B36">
        <v>52429.688109999799</v>
      </c>
      <c r="C36">
        <v>750261.77055308805</v>
      </c>
      <c r="D36">
        <v>0</v>
      </c>
      <c r="E36">
        <v>0</v>
      </c>
      <c r="G36" s="12"/>
      <c r="H36" s="12"/>
      <c r="L36" s="4" t="s">
        <v>47</v>
      </c>
      <c r="M36">
        <v>0</v>
      </c>
      <c r="N36">
        <v>0</v>
      </c>
    </row>
    <row r="37" spans="1:14" x14ac:dyDescent="0.25">
      <c r="A37" s="4" t="s">
        <v>26</v>
      </c>
      <c r="B37">
        <v>51215.538215999797</v>
      </c>
      <c r="C37">
        <v>749383.35129488504</v>
      </c>
      <c r="D37">
        <v>0</v>
      </c>
      <c r="E37">
        <v>0</v>
      </c>
      <c r="G37" s="12">
        <f>GETPIVOTDATA("Sum of E_fixed_cost",$A$3,"model_type",A36,"rho",A34)-GETPIVOTDATA("Sum of E_fixed_cost",$A$3,"model_type",A37,"rho",A34)</f>
        <v>1214.149894000002</v>
      </c>
      <c r="H37" s="12">
        <f>GETPIVOTDATA("Sum of E_production_cost",$A$3,"model_type",$A36,"rho",$A34)-GETPIVOTDATA("Sum of E_production_cost",$A$3,"model_type",$A37,"rho",$A34)</f>
        <v>878.41925820300821</v>
      </c>
      <c r="L37" s="4" t="s">
        <v>26</v>
      </c>
      <c r="M37">
        <v>0</v>
      </c>
      <c r="N37">
        <v>0</v>
      </c>
    </row>
    <row r="38" spans="1:14" x14ac:dyDescent="0.25">
      <c r="A38" s="4" t="s">
        <v>64</v>
      </c>
      <c r="B38">
        <v>57213.661775999899</v>
      </c>
      <c r="C38">
        <v>753774.24684751302</v>
      </c>
      <c r="D38">
        <v>0</v>
      </c>
      <c r="E38">
        <v>0</v>
      </c>
      <c r="G38" s="12"/>
      <c r="H38" s="12"/>
      <c r="L38" s="4" t="s">
        <v>64</v>
      </c>
      <c r="M38">
        <v>0</v>
      </c>
      <c r="N38">
        <v>0</v>
      </c>
    </row>
    <row r="39" spans="1:14" x14ac:dyDescent="0.25">
      <c r="A39" s="3">
        <v>0.7</v>
      </c>
      <c r="B39">
        <v>213416.38146399942</v>
      </c>
      <c r="C39">
        <v>2996322.9486849154</v>
      </c>
      <c r="D39">
        <v>0</v>
      </c>
      <c r="E39">
        <v>0</v>
      </c>
      <c r="G39" s="12"/>
      <c r="H39" s="12"/>
      <c r="L39" s="3">
        <v>0.7</v>
      </c>
      <c r="M39">
        <v>0</v>
      </c>
      <c r="N39">
        <v>0</v>
      </c>
    </row>
    <row r="40" spans="1:14" x14ac:dyDescent="0.25">
      <c r="A40" s="4" t="s">
        <v>63</v>
      </c>
      <c r="B40">
        <v>51215.538215999797</v>
      </c>
      <c r="C40">
        <v>744572.202056607</v>
      </c>
      <c r="D40">
        <v>0</v>
      </c>
      <c r="E40">
        <v>0</v>
      </c>
      <c r="G40" s="12"/>
      <c r="H40" s="12"/>
      <c r="L40" s="4" t="s">
        <v>63</v>
      </c>
      <c r="M40">
        <v>0</v>
      </c>
      <c r="N40">
        <v>0</v>
      </c>
    </row>
    <row r="41" spans="1:14" x14ac:dyDescent="0.25">
      <c r="A41" s="4" t="s">
        <v>47</v>
      </c>
      <c r="B41">
        <v>52557.493361999899</v>
      </c>
      <c r="C41">
        <v>751023.54976151197</v>
      </c>
      <c r="D41">
        <v>0</v>
      </c>
      <c r="E41">
        <v>0</v>
      </c>
      <c r="G41" s="12"/>
      <c r="H41" s="12"/>
      <c r="L41" s="4" t="s">
        <v>47</v>
      </c>
      <c r="M41">
        <v>0</v>
      </c>
      <c r="N41">
        <v>0</v>
      </c>
    </row>
    <row r="42" spans="1:14" x14ac:dyDescent="0.25">
      <c r="A42" s="4" t="s">
        <v>26</v>
      </c>
      <c r="B42">
        <v>52429.688109999799</v>
      </c>
      <c r="C42">
        <v>750345.42287748703</v>
      </c>
      <c r="D42">
        <v>0</v>
      </c>
      <c r="E42">
        <v>0</v>
      </c>
      <c r="G42" s="12">
        <f>GETPIVOTDATA("Sum of E_fixed_cost",$A$3,"model_type",A41,"rho",A39)-GETPIVOTDATA("Sum of E_fixed_cost",$A$3,"model_type",A42,"rho",A39)</f>
        <v>127.80525200010015</v>
      </c>
      <c r="H42" s="12">
        <f>GETPIVOTDATA("Sum of E_production_cost",$A$3,"model_type",$A41,"rho",$A39)-GETPIVOTDATA("Sum of E_production_cost",$A$3,"model_type",$A42,"rho",$A39)</f>
        <v>678.1268840249395</v>
      </c>
      <c r="L42" s="4" t="s">
        <v>26</v>
      </c>
      <c r="M42">
        <v>0</v>
      </c>
      <c r="N42">
        <v>0</v>
      </c>
    </row>
    <row r="43" spans="1:14" x14ac:dyDescent="0.25">
      <c r="A43" s="4" t="s">
        <v>64</v>
      </c>
      <c r="B43">
        <v>57213.661775999899</v>
      </c>
      <c r="C43">
        <v>750381.77398930897</v>
      </c>
      <c r="D43">
        <v>0</v>
      </c>
      <c r="E43">
        <v>0</v>
      </c>
      <c r="G43" s="12"/>
      <c r="H43" s="12"/>
      <c r="L43" s="4" t="s">
        <v>64</v>
      </c>
      <c r="M43">
        <v>0</v>
      </c>
      <c r="N43">
        <v>0</v>
      </c>
    </row>
    <row r="44" spans="1:14" x14ac:dyDescent="0.25">
      <c r="A44" s="3">
        <v>0.8</v>
      </c>
      <c r="B44">
        <v>217778.11987799939</v>
      </c>
      <c r="C44">
        <v>2996208.4226427954</v>
      </c>
      <c r="D44">
        <v>0</v>
      </c>
      <c r="E44">
        <v>646.19769692231898</v>
      </c>
      <c r="G44" s="12"/>
      <c r="H44" s="12"/>
      <c r="L44" s="3">
        <v>0.8</v>
      </c>
      <c r="M44">
        <v>0</v>
      </c>
      <c r="N44">
        <v>646.19769692231898</v>
      </c>
    </row>
    <row r="45" spans="1:14" x14ac:dyDescent="0.25">
      <c r="A45" s="4" t="s">
        <v>63</v>
      </c>
      <c r="B45">
        <v>51215.538215999797</v>
      </c>
      <c r="C45">
        <v>745051.81482554099</v>
      </c>
      <c r="D45">
        <v>0</v>
      </c>
      <c r="E45">
        <v>646.19769692231898</v>
      </c>
      <c r="G45" s="12"/>
      <c r="H45" s="12"/>
      <c r="L45" s="4" t="s">
        <v>63</v>
      </c>
      <c r="M45">
        <v>0</v>
      </c>
      <c r="N45">
        <v>646.19769692231898</v>
      </c>
    </row>
    <row r="46" spans="1:14" x14ac:dyDescent="0.25">
      <c r="A46" s="4" t="s">
        <v>47</v>
      </c>
      <c r="B46">
        <v>56390.979291999902</v>
      </c>
      <c r="C46">
        <v>749481.18457887298</v>
      </c>
      <c r="D46">
        <v>0</v>
      </c>
      <c r="E46">
        <v>0</v>
      </c>
      <c r="G46" s="12"/>
      <c r="H46" s="12"/>
      <c r="L46" s="4" t="s">
        <v>47</v>
      </c>
      <c r="M46">
        <v>0</v>
      </c>
      <c r="N46">
        <v>0</v>
      </c>
    </row>
    <row r="47" spans="1:14" x14ac:dyDescent="0.25">
      <c r="A47" s="4" t="s">
        <v>26</v>
      </c>
      <c r="B47">
        <v>52685.298613999897</v>
      </c>
      <c r="C47">
        <v>751496.75225688599</v>
      </c>
      <c r="D47">
        <v>0</v>
      </c>
      <c r="E47">
        <v>0</v>
      </c>
      <c r="G47" s="12">
        <f>GETPIVOTDATA("Sum of E_fixed_cost",$A$3,"model_type",A46,"rho",A44)-GETPIVOTDATA("Sum of E_fixed_cost",$A$3,"model_type",A47,"rho",A44)</f>
        <v>3705.6806780000043</v>
      </c>
      <c r="H47" s="12">
        <f>GETPIVOTDATA("Sum of E_production_cost",$A$3,"model_type",$A46,"rho",$A44)-GETPIVOTDATA("Sum of E_production_cost",$A$3,"model_type",$A47,"rho",$A44)</f>
        <v>-2015.5676780130016</v>
      </c>
      <c r="L47" s="4" t="s">
        <v>26</v>
      </c>
      <c r="M47">
        <v>0</v>
      </c>
      <c r="N47">
        <v>0</v>
      </c>
    </row>
    <row r="48" spans="1:14" x14ac:dyDescent="0.25">
      <c r="A48" s="4" t="s">
        <v>64</v>
      </c>
      <c r="B48">
        <v>57486.303755999797</v>
      </c>
      <c r="C48">
        <v>750178.67098149494</v>
      </c>
      <c r="D48">
        <v>0</v>
      </c>
      <c r="E48">
        <v>0</v>
      </c>
      <c r="G48" s="12"/>
      <c r="H48" s="12"/>
      <c r="L48" s="4" t="s">
        <v>64</v>
      </c>
      <c r="M48">
        <v>0</v>
      </c>
      <c r="N48">
        <v>0</v>
      </c>
    </row>
    <row r="49" spans="1:14" x14ac:dyDescent="0.25">
      <c r="A49" s="3">
        <v>0.9</v>
      </c>
      <c r="B49">
        <v>222835.2687899998</v>
      </c>
      <c r="C49">
        <v>3000789.6587095717</v>
      </c>
      <c r="D49">
        <v>0</v>
      </c>
      <c r="E49">
        <v>324.70400345111301</v>
      </c>
      <c r="G49" s="12"/>
      <c r="H49" s="12"/>
      <c r="L49" s="3">
        <v>0.9</v>
      </c>
      <c r="M49">
        <v>0</v>
      </c>
      <c r="N49">
        <v>324.70400345111301</v>
      </c>
    </row>
    <row r="50" spans="1:14" x14ac:dyDescent="0.25">
      <c r="A50" s="4" t="s">
        <v>63</v>
      </c>
      <c r="B50">
        <v>52557.493361999899</v>
      </c>
      <c r="C50">
        <v>745956.51156556199</v>
      </c>
      <c r="D50">
        <v>0</v>
      </c>
      <c r="E50">
        <v>324.70400345111301</v>
      </c>
      <c r="G50" s="12"/>
      <c r="H50" s="12"/>
      <c r="L50" s="4" t="s">
        <v>63</v>
      </c>
      <c r="M50">
        <v>0</v>
      </c>
      <c r="N50">
        <v>324.70400345111301</v>
      </c>
    </row>
    <row r="51" spans="1:14" x14ac:dyDescent="0.25">
      <c r="A51" s="4" t="s">
        <v>47</v>
      </c>
      <c r="B51">
        <v>56668.377816</v>
      </c>
      <c r="C51">
        <v>749262.024815112</v>
      </c>
      <c r="D51">
        <v>0</v>
      </c>
      <c r="E51">
        <v>0</v>
      </c>
      <c r="G51" s="12"/>
      <c r="H51" s="12"/>
      <c r="L51" s="4" t="s">
        <v>47</v>
      </c>
      <c r="M51">
        <v>0</v>
      </c>
      <c r="N51">
        <v>0</v>
      </c>
    </row>
    <row r="52" spans="1:14" x14ac:dyDescent="0.25">
      <c r="A52" s="4" t="s">
        <v>26</v>
      </c>
      <c r="B52">
        <v>56395.735836</v>
      </c>
      <c r="C52">
        <v>749164.60426292603</v>
      </c>
      <c r="D52">
        <v>0</v>
      </c>
      <c r="E52">
        <v>0</v>
      </c>
      <c r="G52" s="12">
        <f>GETPIVOTDATA("Sum of E_fixed_cost",$A$3,"model_type",A51,"rho",A49)-GETPIVOTDATA("Sum of E_fixed_cost",$A$3,"model_type",A52,"rho",A49)</f>
        <v>272.64198000000033</v>
      </c>
      <c r="H52" s="12">
        <f>GETPIVOTDATA("Sum of E_production_cost",$A$3,"model_type",$A51,"rho",$A49)-GETPIVOTDATA("Sum of E_production_cost",$A$3,"model_type",$A52,"rho",$A49)</f>
        <v>97.420552185969427</v>
      </c>
      <c r="L52" s="4" t="s">
        <v>26</v>
      </c>
      <c r="M52">
        <v>0</v>
      </c>
      <c r="N52">
        <v>0</v>
      </c>
    </row>
    <row r="53" spans="1:14" x14ac:dyDescent="0.25">
      <c r="A53" s="4" t="s">
        <v>64</v>
      </c>
      <c r="B53">
        <v>57213.661775999899</v>
      </c>
      <c r="C53">
        <v>756406.51806597202</v>
      </c>
      <c r="D53">
        <v>0</v>
      </c>
      <c r="E53">
        <v>0</v>
      </c>
      <c r="G53" s="12"/>
      <c r="H53" s="12"/>
      <c r="L53" s="4" t="s">
        <v>64</v>
      </c>
      <c r="M53">
        <v>0</v>
      </c>
      <c r="N53">
        <v>0</v>
      </c>
    </row>
    <row r="54" spans="1:14" x14ac:dyDescent="0.25">
      <c r="A54" s="3">
        <v>0.99</v>
      </c>
      <c r="B54">
        <v>222685.67551799968</v>
      </c>
      <c r="C54">
        <v>2993743.2923757415</v>
      </c>
      <c r="D54">
        <v>6240.7091142769405</v>
      </c>
      <c r="E54">
        <v>319.16787609091602</v>
      </c>
      <c r="G54" s="12"/>
      <c r="H54" s="12"/>
      <c r="L54" s="3">
        <v>0.99</v>
      </c>
      <c r="M54">
        <v>6240.7091142769405</v>
      </c>
      <c r="N54">
        <v>319.16787609091602</v>
      </c>
    </row>
    <row r="55" spans="1:14" x14ac:dyDescent="0.25">
      <c r="A55" s="4" t="s">
        <v>63</v>
      </c>
      <c r="B55">
        <v>52685.298613999897</v>
      </c>
      <c r="C55">
        <v>747580.51637932495</v>
      </c>
      <c r="D55">
        <v>0</v>
      </c>
      <c r="E55">
        <v>319.16787609091602</v>
      </c>
      <c r="G55" s="12"/>
      <c r="H55" s="12"/>
      <c r="L55" s="4" t="s">
        <v>63</v>
      </c>
      <c r="M55">
        <v>0</v>
      </c>
      <c r="N55">
        <v>319.16787609091602</v>
      </c>
    </row>
    <row r="56" spans="1:14" x14ac:dyDescent="0.25">
      <c r="A56" s="4" t="s">
        <v>47</v>
      </c>
      <c r="B56">
        <v>56668.377816</v>
      </c>
      <c r="C56">
        <v>748711.89486185799</v>
      </c>
      <c r="D56">
        <v>0</v>
      </c>
      <c r="E56">
        <v>0</v>
      </c>
      <c r="G56" s="12"/>
      <c r="H56" s="12"/>
      <c r="L56" s="4" t="s">
        <v>47</v>
      </c>
      <c r="M56">
        <v>0</v>
      </c>
      <c r="N56">
        <v>0</v>
      </c>
    </row>
    <row r="57" spans="1:14" x14ac:dyDescent="0.25">
      <c r="A57" s="4" t="s">
        <v>26</v>
      </c>
      <c r="B57">
        <v>56668.377816</v>
      </c>
      <c r="C57">
        <v>748682.65773233795</v>
      </c>
      <c r="D57">
        <v>6240.7091142769405</v>
      </c>
      <c r="E57">
        <v>0</v>
      </c>
      <c r="G57" s="12">
        <f>GETPIVOTDATA("Sum of E_fixed_cost",$A$3,"model_type",A56,"rho",A54)-GETPIVOTDATA("Sum of E_fixed_cost",$A$3,"model_type",A57,"rho",A54)</f>
        <v>0</v>
      </c>
      <c r="H57" s="12">
        <f>GETPIVOTDATA("Sum of E_production_cost",$A$3,"model_type",$A56,"rho",$A54)-GETPIVOTDATA("Sum of E_production_cost",$A$3,"model_type",$A57,"rho",$A54)</f>
        <v>29.237129520042799</v>
      </c>
      <c r="L57" s="4" t="s">
        <v>26</v>
      </c>
      <c r="M57">
        <v>6240.7091142769405</v>
      </c>
      <c r="N57">
        <v>0</v>
      </c>
    </row>
    <row r="58" spans="1:14" x14ac:dyDescent="0.25">
      <c r="A58" s="4" t="s">
        <v>64</v>
      </c>
      <c r="B58">
        <v>56663.6212719998</v>
      </c>
      <c r="C58">
        <v>748768.22340222099</v>
      </c>
      <c r="D58">
        <v>0</v>
      </c>
      <c r="E58">
        <v>0</v>
      </c>
      <c r="L58" s="4" t="s">
        <v>64</v>
      </c>
      <c r="M58">
        <v>0</v>
      </c>
      <c r="N58">
        <v>0</v>
      </c>
    </row>
    <row r="59" spans="1:14" x14ac:dyDescent="0.25">
      <c r="A59" s="3" t="s">
        <v>60</v>
      </c>
      <c r="B59">
        <v>2354492.0579279936</v>
      </c>
      <c r="C59">
        <v>32956961.842179835</v>
      </c>
      <c r="D59">
        <v>32832.721963329968</v>
      </c>
      <c r="E59">
        <v>1290.0695764643472</v>
      </c>
      <c r="L59" s="3" t="s">
        <v>60</v>
      </c>
      <c r="M59">
        <v>32832.721963329968</v>
      </c>
      <c r="N59">
        <v>1290.0695764643472</v>
      </c>
    </row>
    <row r="62" spans="1:14" x14ac:dyDescent="0.25">
      <c r="G62">
        <v>0</v>
      </c>
      <c r="H62" t="s">
        <v>76</v>
      </c>
      <c r="I62" t="s">
        <v>78</v>
      </c>
    </row>
    <row r="63" spans="1:14" x14ac:dyDescent="0.25">
      <c r="G63">
        <v>0.1</v>
      </c>
    </row>
    <row r="64" spans="1:14" x14ac:dyDescent="0.25">
      <c r="G64">
        <v>0.2</v>
      </c>
    </row>
    <row r="65" spans="7:7" x14ac:dyDescent="0.25">
      <c r="G65">
        <v>0.3</v>
      </c>
    </row>
    <row r="66" spans="7:7" x14ac:dyDescent="0.25">
      <c r="G66">
        <v>0.4</v>
      </c>
    </row>
    <row r="67" spans="7:7" x14ac:dyDescent="0.25">
      <c r="G67">
        <v>0.5</v>
      </c>
    </row>
    <row r="68" spans="7:7" x14ac:dyDescent="0.25">
      <c r="G68">
        <v>0.6</v>
      </c>
    </row>
    <row r="69" spans="7:7" x14ac:dyDescent="0.25">
      <c r="G69">
        <v>0.7</v>
      </c>
    </row>
    <row r="70" spans="7:7" x14ac:dyDescent="0.25">
      <c r="G70">
        <v>0.8</v>
      </c>
    </row>
    <row r="71" spans="7:7" x14ac:dyDescent="0.25">
      <c r="G71">
        <v>0.9</v>
      </c>
    </row>
    <row r="72" spans="7:7" x14ac:dyDescent="0.25">
      <c r="G72">
        <v>0.99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A356-1138-4941-A7C2-6B16777296A1}">
  <dimension ref="A3:T54"/>
  <sheetViews>
    <sheetView tabSelected="1" topLeftCell="A25" workbookViewId="0">
      <selection activeCell="N22" sqref="N22"/>
    </sheetView>
  </sheetViews>
  <sheetFormatPr defaultRowHeight="15" x14ac:dyDescent="0.25"/>
  <cols>
    <col min="1" max="1" width="43.5703125" bestFit="1" customWidth="1"/>
    <col min="2" max="2" width="15.5703125" bestFit="1" customWidth="1"/>
    <col min="3" max="9" width="5.85546875" bestFit="1" customWidth="1"/>
    <col min="10" max="10" width="6.140625" customWidth="1"/>
    <col min="11" max="11" width="5.85546875" bestFit="1" customWidth="1"/>
    <col min="12" max="12" width="12.7109375" bestFit="1" customWidth="1"/>
    <col min="13" max="13" width="12" bestFit="1" customWidth="1"/>
    <col min="14" max="14" width="14" bestFit="1" customWidth="1"/>
    <col min="15" max="15" width="32.5703125" bestFit="1" customWidth="1"/>
    <col min="16" max="16" width="15.5703125" bestFit="1" customWidth="1"/>
    <col min="17" max="20" width="11.85546875" bestFit="1" customWidth="1"/>
    <col min="21" max="21" width="34.42578125" bestFit="1" customWidth="1"/>
    <col min="22" max="22" width="18" bestFit="1" customWidth="1"/>
    <col min="23" max="23" width="17.7109375" bestFit="1" customWidth="1"/>
    <col min="24" max="24" width="19" bestFit="1" customWidth="1"/>
    <col min="25" max="25" width="18" bestFit="1" customWidth="1"/>
  </cols>
  <sheetData>
    <row r="3" spans="1:19" x14ac:dyDescent="0.25">
      <c r="B3" s="2" t="s">
        <v>68</v>
      </c>
    </row>
    <row r="4" spans="1:19" x14ac:dyDescent="0.25">
      <c r="A4" s="2" t="s">
        <v>59</v>
      </c>
      <c r="B4">
        <v>0</v>
      </c>
      <c r="C4">
        <v>0.1</v>
      </c>
      <c r="D4">
        <v>0.2</v>
      </c>
      <c r="E4">
        <v>0.3</v>
      </c>
      <c r="F4">
        <v>0.4</v>
      </c>
      <c r="G4">
        <v>0.5</v>
      </c>
      <c r="H4">
        <v>0.6</v>
      </c>
      <c r="I4">
        <v>0.7</v>
      </c>
      <c r="J4">
        <v>0.8</v>
      </c>
      <c r="K4">
        <v>0.9</v>
      </c>
      <c r="L4">
        <v>0.99</v>
      </c>
      <c r="P4" s="2" t="s">
        <v>68</v>
      </c>
    </row>
    <row r="5" spans="1:19" x14ac:dyDescent="0.25">
      <c r="A5" s="3" t="s">
        <v>91</v>
      </c>
      <c r="O5" s="2" t="s">
        <v>59</v>
      </c>
      <c r="P5" t="s">
        <v>26</v>
      </c>
      <c r="Q5" t="s">
        <v>47</v>
      </c>
      <c r="R5" t="s">
        <v>63</v>
      </c>
      <c r="S5" t="s">
        <v>64</v>
      </c>
    </row>
    <row r="6" spans="1:19" x14ac:dyDescent="0.25">
      <c r="A6" s="4" t="s">
        <v>26</v>
      </c>
      <c r="B6" s="6">
        <v>31857.027429921702</v>
      </c>
      <c r="C6" s="6">
        <v>31876.854996701601</v>
      </c>
      <c r="D6" s="6">
        <v>31862.389346486401</v>
      </c>
      <c r="E6" s="6">
        <v>31863.943819861201</v>
      </c>
      <c r="F6" s="6">
        <v>31877.082289948401</v>
      </c>
      <c r="G6" s="6">
        <v>31884.4850824192</v>
      </c>
      <c r="H6" s="6">
        <v>31861.2767460635</v>
      </c>
      <c r="I6" s="6">
        <v>31869.171220148401</v>
      </c>
      <c r="J6" s="6">
        <v>31879.575969551301</v>
      </c>
      <c r="K6" s="6">
        <v>31872.408860789201</v>
      </c>
      <c r="L6" s="6">
        <v>31939.635548106799</v>
      </c>
      <c r="O6" s="3" t="s">
        <v>91</v>
      </c>
    </row>
    <row r="7" spans="1:19" x14ac:dyDescent="0.25">
      <c r="A7" s="4" t="s">
        <v>47</v>
      </c>
      <c r="B7" s="6">
        <v>31857.026056311501</v>
      </c>
      <c r="C7" s="6">
        <v>31883.1122231054</v>
      </c>
      <c r="D7" s="6">
        <v>31862.389346486401</v>
      </c>
      <c r="E7" s="6">
        <v>31863.943819861201</v>
      </c>
      <c r="F7" s="6">
        <v>31877.082289948401</v>
      </c>
      <c r="G7" s="6">
        <v>31884.4850824192</v>
      </c>
      <c r="H7" s="6">
        <v>31875.894926509001</v>
      </c>
      <c r="I7" s="6">
        <v>31869.171220148401</v>
      </c>
      <c r="J7" s="6">
        <v>31864.9577891058</v>
      </c>
      <c r="K7" s="6">
        <v>31872.408860789201</v>
      </c>
      <c r="L7" s="6">
        <v>31940.094138005599</v>
      </c>
      <c r="O7" s="4">
        <v>0.5</v>
      </c>
      <c r="P7" s="6">
        <v>31884.4850824192</v>
      </c>
      <c r="Q7" s="6">
        <v>31884.4850824192</v>
      </c>
      <c r="R7" s="6">
        <v>31720.751947542001</v>
      </c>
      <c r="S7" s="6">
        <v>32103.963287345199</v>
      </c>
    </row>
    <row r="8" spans="1:19" x14ac:dyDescent="0.25">
      <c r="A8" s="4" t="s">
        <v>63</v>
      </c>
      <c r="B8" s="6">
        <v>31718.769336797101</v>
      </c>
      <c r="C8" s="6">
        <v>31723.466981769499</v>
      </c>
      <c r="D8" s="6">
        <v>31717.906475617499</v>
      </c>
      <c r="E8" s="6">
        <v>31736.447047517599</v>
      </c>
      <c r="F8" s="6">
        <v>31732.7489471019</v>
      </c>
      <c r="G8" s="6">
        <v>31720.751947542001</v>
      </c>
      <c r="H8" s="6">
        <v>31703.054869428099</v>
      </c>
      <c r="I8" s="6">
        <v>31661.602888424499</v>
      </c>
      <c r="J8" s="6">
        <v>31715.110665291799</v>
      </c>
      <c r="K8" s="6">
        <v>31724.3848142895</v>
      </c>
      <c r="L8" s="6">
        <v>31826.336722305899</v>
      </c>
      <c r="O8" s="4">
        <v>0.8</v>
      </c>
      <c r="P8" s="6">
        <v>31879.575969551301</v>
      </c>
      <c r="Q8" s="6">
        <v>31864.9577891058</v>
      </c>
      <c r="R8" s="6">
        <v>31715.110665291799</v>
      </c>
      <c r="S8" s="6">
        <v>31818.6979762833</v>
      </c>
    </row>
    <row r="9" spans="1:19" x14ac:dyDescent="0.25">
      <c r="A9" s="4" t="s">
        <v>64</v>
      </c>
      <c r="B9" s="6">
        <v>31805.0708876395</v>
      </c>
      <c r="C9" s="6">
        <v>31814.5108485768</v>
      </c>
      <c r="D9" s="6">
        <v>31830.208963567002</v>
      </c>
      <c r="E9" s="6">
        <v>31768.465550962799</v>
      </c>
      <c r="F9" s="6">
        <v>31826.831117352802</v>
      </c>
      <c r="G9" s="6">
        <v>32103.963287345199</v>
      </c>
      <c r="H9" s="6">
        <v>31943.468978128301</v>
      </c>
      <c r="I9" s="6">
        <v>31804.595957244601</v>
      </c>
      <c r="J9" s="6">
        <v>31818.6979762833</v>
      </c>
      <c r="K9" s="6">
        <v>32094.7405044152</v>
      </c>
      <c r="L9" s="6">
        <v>31939.6355481067</v>
      </c>
      <c r="O9" s="4">
        <v>0.99</v>
      </c>
      <c r="P9" s="6">
        <v>31939.635548106799</v>
      </c>
      <c r="Q9" s="6">
        <v>31940.094138005599</v>
      </c>
      <c r="R9" s="6">
        <v>31826.336722305899</v>
      </c>
      <c r="S9" s="6">
        <v>31939.6355481067</v>
      </c>
    </row>
    <row r="10" spans="1:19" x14ac:dyDescent="0.25">
      <c r="A10" s="3" t="s">
        <v>92</v>
      </c>
      <c r="O10" s="3" t="s">
        <v>89</v>
      </c>
      <c r="P10" s="6"/>
      <c r="Q10" s="6"/>
      <c r="R10" s="6"/>
      <c r="S10" s="6"/>
    </row>
    <row r="11" spans="1:19" x14ac:dyDescent="0.25">
      <c r="A11" s="4" t="s">
        <v>26</v>
      </c>
      <c r="B11" s="6">
        <v>1522.4399999999901</v>
      </c>
      <c r="C11" s="6">
        <v>1522.4399999999901</v>
      </c>
      <c r="D11" s="6">
        <v>1522.4399999999901</v>
      </c>
      <c r="E11" s="6">
        <v>1522.4399999999901</v>
      </c>
      <c r="F11" s="6">
        <v>1522.4399999999901</v>
      </c>
      <c r="G11" s="6">
        <v>1522.4399999999901</v>
      </c>
      <c r="H11" s="6">
        <v>1522.4399999999901</v>
      </c>
      <c r="I11" s="6">
        <v>1522.4399999999901</v>
      </c>
      <c r="J11" s="6">
        <v>1522.4399999999901</v>
      </c>
      <c r="K11" s="6">
        <v>1522.4399999999901</v>
      </c>
      <c r="L11" s="6">
        <v>1522.4399999999901</v>
      </c>
      <c r="O11" s="4">
        <v>0.5</v>
      </c>
      <c r="P11" s="6">
        <v>5569.8780217310104</v>
      </c>
      <c r="Q11" s="6">
        <v>5526.1091845398296</v>
      </c>
      <c r="R11" s="6">
        <v>5636.9776814979195</v>
      </c>
      <c r="S11" s="6">
        <v>5199.1736228310001</v>
      </c>
    </row>
    <row r="12" spans="1:19" x14ac:dyDescent="0.25">
      <c r="A12" s="4" t="s">
        <v>47</v>
      </c>
      <c r="B12" s="6">
        <v>1522.4399999999901</v>
      </c>
      <c r="C12" s="6">
        <v>1522.4399999999901</v>
      </c>
      <c r="D12" s="6">
        <v>1522.4399999999901</v>
      </c>
      <c r="E12" s="6">
        <v>1522.4399999999901</v>
      </c>
      <c r="F12" s="6">
        <v>1522.4399999999901</v>
      </c>
      <c r="G12" s="6">
        <v>1522.4399999999901</v>
      </c>
      <c r="H12" s="6">
        <v>1522.4399999999901</v>
      </c>
      <c r="I12" s="6">
        <v>1522.4399999999901</v>
      </c>
      <c r="J12" s="6">
        <v>1522.4399999999901</v>
      </c>
      <c r="K12" s="6">
        <v>1522.4399999999901</v>
      </c>
      <c r="L12" s="6">
        <v>1522.4399999999901</v>
      </c>
      <c r="O12" s="4">
        <v>0.8</v>
      </c>
      <c r="P12" s="6">
        <v>5511.1866642505101</v>
      </c>
      <c r="Q12" s="6">
        <v>5243.6607367417801</v>
      </c>
      <c r="R12" s="6">
        <v>5597.3611574255201</v>
      </c>
      <c r="S12" s="6">
        <v>5075.3201079363798</v>
      </c>
    </row>
    <row r="13" spans="1:19" x14ac:dyDescent="0.25">
      <c r="A13" s="4" t="s">
        <v>63</v>
      </c>
      <c r="B13" s="6">
        <v>1522.44</v>
      </c>
      <c r="C13" s="6">
        <v>1522.44</v>
      </c>
      <c r="D13" s="6">
        <v>1522.44</v>
      </c>
      <c r="E13" s="6">
        <v>1522.44</v>
      </c>
      <c r="F13" s="6">
        <v>1522.44</v>
      </c>
      <c r="G13" s="6">
        <v>1522.44</v>
      </c>
      <c r="H13" s="6">
        <v>1522.44</v>
      </c>
      <c r="I13" s="6">
        <v>1522.44</v>
      </c>
      <c r="J13" s="6">
        <v>1522.44</v>
      </c>
      <c r="K13" s="6">
        <v>1522.44</v>
      </c>
      <c r="L13" s="6">
        <v>1522.44</v>
      </c>
      <c r="O13" s="4">
        <v>0.99</v>
      </c>
      <c r="P13" s="6">
        <v>5974.2964631805798</v>
      </c>
      <c r="Q13" s="6">
        <v>5965.9707873563002</v>
      </c>
      <c r="R13" s="6">
        <v>6210.1210994667999</v>
      </c>
      <c r="S13" s="6">
        <v>5934.8157107327797</v>
      </c>
    </row>
    <row r="14" spans="1:19" x14ac:dyDescent="0.25">
      <c r="A14" s="4" t="s">
        <v>64</v>
      </c>
      <c r="B14" s="6">
        <v>1522.4399999999901</v>
      </c>
      <c r="C14" s="6">
        <v>1522.4399999999901</v>
      </c>
      <c r="D14" s="6">
        <v>1522.4399999999901</v>
      </c>
      <c r="E14" s="6">
        <v>1522.4399999999901</v>
      </c>
      <c r="F14" s="6">
        <v>1522.4399999999901</v>
      </c>
      <c r="G14" s="6">
        <v>1522.4399999999901</v>
      </c>
      <c r="H14" s="6">
        <v>1522.4399999999901</v>
      </c>
      <c r="I14" s="6">
        <v>1522.4399999999901</v>
      </c>
      <c r="J14" s="6">
        <v>1522.4399999999901</v>
      </c>
      <c r="K14" s="6">
        <v>1522.4399999999901</v>
      </c>
      <c r="L14" s="6">
        <v>1522.4399999999901</v>
      </c>
    </row>
    <row r="15" spans="1:19" x14ac:dyDescent="0.25">
      <c r="A15" s="3" t="s">
        <v>90</v>
      </c>
    </row>
    <row r="16" spans="1:19" x14ac:dyDescent="0.25">
      <c r="A16" s="4" t="s">
        <v>26</v>
      </c>
      <c r="B16" s="6">
        <v>6325.1541802527199</v>
      </c>
      <c r="C16" s="6">
        <v>6428.2440876139399</v>
      </c>
      <c r="D16" s="6">
        <v>6242.0618652290696</v>
      </c>
      <c r="E16" s="6">
        <v>6286.5579776984596</v>
      </c>
      <c r="F16" s="6">
        <v>6278.53447149982</v>
      </c>
      <c r="G16" s="6">
        <v>6277.2416078900296</v>
      </c>
      <c r="H16" s="6">
        <v>6278.8006704453401</v>
      </c>
      <c r="I16" s="6">
        <v>6303.3096874985104</v>
      </c>
      <c r="J16" s="6">
        <v>6631.6180625543702</v>
      </c>
      <c r="K16" s="6">
        <v>6471.6446877140497</v>
      </c>
      <c r="L16" s="6">
        <v>6456.3168051327302</v>
      </c>
      <c r="M16" s="6">
        <f>GETPIVOTDATA("Sum of E_storage_charge_MWh",$A$3,"model_type","envelope","rho",0)-GETPIVOTDATA("Sum of E_storage_discharge_MWh",$A$3,"model_type","envelope","rho",0)</f>
        <v>892.14959319925038</v>
      </c>
      <c r="N16" s="6">
        <f>GETPIVOTDATA("Sum of E_storage_charge_MWh",$A$3,"model_type",A16,"rho",C$4)-GETPIVOTDATA("Sum of E_storage_discharge_MWh",$A$3,"model_type",A16,"rho",C$4)</f>
        <v>861.40101101809978</v>
      </c>
    </row>
    <row r="17" spans="1:20" x14ac:dyDescent="0.25">
      <c r="A17" s="4" t="s">
        <v>47</v>
      </c>
      <c r="B17" s="6">
        <v>6317.0501393942504</v>
      </c>
      <c r="C17" s="6">
        <v>6346.2680689277504</v>
      </c>
      <c r="D17" s="6">
        <v>6243.3652074683896</v>
      </c>
      <c r="E17" s="6">
        <v>6259.9570613716896</v>
      </c>
      <c r="F17" s="6">
        <v>6288.9044556171903</v>
      </c>
      <c r="G17" s="6">
        <v>6233.4727706988497</v>
      </c>
      <c r="H17" s="6">
        <v>6330.4216953660898</v>
      </c>
      <c r="I17" s="6">
        <v>6230.4671991537098</v>
      </c>
      <c r="J17" s="6">
        <v>6349.4739546001201</v>
      </c>
      <c r="K17" s="6">
        <v>6345.9562161742097</v>
      </c>
      <c r="L17" s="6">
        <v>6447.8256482958404</v>
      </c>
      <c r="M17" s="6">
        <f>GETPIVOTDATA("Sum of E_storage_charge_MWh",$A$3,"model_type",A17,"rho",B$4)-GETPIVOTDATA("Sum of E_storage_discharge_MWh",$A$3,"model_type",A17,"rho",B$4)</f>
        <v>892.14821958893026</v>
      </c>
      <c r="N17" s="6">
        <f>GETPIVOTDATA("Sum of E_storage_charge_MWh",$A$3,"model_type",A17,"rho",C$4)-GETPIVOTDATA("Sum of E_storage_discharge_MWh",$A$3,"model_type",A17,"rho",C$4)</f>
        <v>867.65823742195062</v>
      </c>
    </row>
    <row r="18" spans="1:20" x14ac:dyDescent="0.25">
      <c r="A18" s="4" t="s">
        <v>63</v>
      </c>
      <c r="B18" s="6">
        <v>6264.92400426111</v>
      </c>
      <c r="C18" s="6">
        <v>6270.5020695374897</v>
      </c>
      <c r="D18" s="6">
        <v>6097.4759040633098</v>
      </c>
      <c r="E18" s="6">
        <v>6255.6856587311304</v>
      </c>
      <c r="F18" s="6">
        <v>6223.40541472721</v>
      </c>
      <c r="G18" s="6">
        <v>6180.6081327797101</v>
      </c>
      <c r="H18" s="6">
        <v>6135.0431416015799</v>
      </c>
      <c r="I18" s="6">
        <v>5998.8817356171603</v>
      </c>
      <c r="J18" s="6">
        <v>6552.6810537729098</v>
      </c>
      <c r="K18" s="6">
        <v>6496.4040932725702</v>
      </c>
      <c r="L18" s="6">
        <v>6577.89937683072</v>
      </c>
      <c r="M18" s="6">
        <f>GETPIVOTDATA("Sum of E_storage_charge_MWh",$A$3,"model_type",A18,"rho",B$4)-GETPIVOTDATA("Sum of E_storage_discharge_MWh",$A$3,"model_type",A18,"rho",B$4)</f>
        <v>753.89150007463013</v>
      </c>
      <c r="N18" s="6">
        <f>GETPIVOTDATA("Sum of E_storage_charge_MWh",$A$3,"model_type",A18,"rho",C$4)-GETPIVOTDATA("Sum of E_storage_discharge_MWh",$A$3,"model_type",A18,"rho",C$4)</f>
        <v>708.01299608597947</v>
      </c>
      <c r="O18">
        <f t="shared" ref="O18" si="0">GETPIVOTDATA("Sum of E_storage_charge_MWh",$A$3,"model_type","stochastic","rho",D4)-GETPIVOTDATA("Sum of E_storage_discharge_MWh",$A$3,"model_type","stochastic","rho",D4)</f>
        <v>700.56933318820938</v>
      </c>
    </row>
    <row r="19" spans="1:20" x14ac:dyDescent="0.25">
      <c r="A19" s="4" t="s">
        <v>64</v>
      </c>
      <c r="B19" s="6">
        <v>6002.6454961628197</v>
      </c>
      <c r="C19" s="6">
        <v>5967.1442358201002</v>
      </c>
      <c r="D19" s="6">
        <v>5718.1959454235302</v>
      </c>
      <c r="E19" s="6">
        <v>5707.7908465506698</v>
      </c>
      <c r="F19" s="6">
        <v>5973.1509961832498</v>
      </c>
      <c r="G19" s="6">
        <v>6126.0154139160004</v>
      </c>
      <c r="H19" s="6">
        <v>6039.05893169298</v>
      </c>
      <c r="I19" s="6">
        <v>5836.0789302847097</v>
      </c>
      <c r="J19" s="6">
        <v>6134.87351297228</v>
      </c>
      <c r="K19" s="6">
        <v>6422.7963144524902</v>
      </c>
      <c r="L19" s="6">
        <v>6416.2119817735002</v>
      </c>
      <c r="M19" s="6">
        <f>GETPIVOTDATA("Sum of E_storage_charge_MWh",$A$3,"model_type",A19,"rho",B$4)-GETPIVOTDATA("Sum of E_storage_discharge_MWh",$A$3,"model_type",A19,"rho",B$4)</f>
        <v>840.1930509169697</v>
      </c>
      <c r="N19" s="6">
        <f t="shared" ref="N19" si="1">GETPIVOTDATA("Sum of E_storage_charge_MWh",$A$3,"model_type",A19,"rho",C$4)-GETPIVOTDATA("Sum of E_storage_discharge_MWh",$A$3,"model_type",A19,"rho",C$4)</f>
        <v>799.05686289337063</v>
      </c>
    </row>
    <row r="20" spans="1:20" x14ac:dyDescent="0.25">
      <c r="A20" s="3" t="s">
        <v>89</v>
      </c>
    </row>
    <row r="21" spans="1:20" x14ac:dyDescent="0.25">
      <c r="A21" s="4" t="s">
        <v>26</v>
      </c>
      <c r="B21" s="6">
        <v>5433.0045870534695</v>
      </c>
      <c r="C21" s="6">
        <v>5566.8430765958401</v>
      </c>
      <c r="D21" s="6">
        <v>5396.3722039334098</v>
      </c>
      <c r="E21" s="6">
        <v>5411.7532000602496</v>
      </c>
      <c r="F21" s="6">
        <v>5379.5991091179503</v>
      </c>
      <c r="G21" s="6">
        <v>5569.8780217310104</v>
      </c>
      <c r="H21" s="6">
        <v>5439.21578782504</v>
      </c>
      <c r="I21" s="6">
        <v>5567.3516452311196</v>
      </c>
      <c r="J21" s="6">
        <v>5511.1866642505101</v>
      </c>
      <c r="K21" s="6">
        <v>5600.5353856484799</v>
      </c>
      <c r="L21" s="6">
        <v>5974.2964631805798</v>
      </c>
    </row>
    <row r="22" spans="1:20" x14ac:dyDescent="0.25">
      <c r="A22" s="4" t="s">
        <v>47</v>
      </c>
      <c r="B22" s="6">
        <v>5424.9019198053202</v>
      </c>
      <c r="C22" s="6">
        <v>5478.6098315057998</v>
      </c>
      <c r="D22" s="6">
        <v>5398.31300341112</v>
      </c>
      <c r="E22" s="6">
        <v>5387.17402777998</v>
      </c>
      <c r="F22" s="6">
        <v>5389.9690932353196</v>
      </c>
      <c r="G22" s="6">
        <v>5526.1091845398296</v>
      </c>
      <c r="H22" s="6">
        <v>5476.2186323002798</v>
      </c>
      <c r="I22" s="6">
        <v>5494.5091568863199</v>
      </c>
      <c r="J22" s="6">
        <v>5243.6607367417801</v>
      </c>
      <c r="K22" s="6">
        <v>5474.8469141086398</v>
      </c>
      <c r="L22" s="6">
        <v>5965.9707873563002</v>
      </c>
    </row>
    <row r="23" spans="1:20" x14ac:dyDescent="0.25">
      <c r="A23" s="4" t="s">
        <v>63</v>
      </c>
      <c r="B23" s="6">
        <v>5511.0325041864799</v>
      </c>
      <c r="C23" s="6">
        <v>5562.4890734515102</v>
      </c>
      <c r="D23" s="6">
        <v>5396.9065708751004</v>
      </c>
      <c r="E23" s="6">
        <v>5510.3993974831101</v>
      </c>
      <c r="F23" s="6">
        <v>5468.8033951918396</v>
      </c>
      <c r="G23" s="6">
        <v>5636.9776814979195</v>
      </c>
      <c r="H23" s="6">
        <v>5453.6801356166998</v>
      </c>
      <c r="I23" s="6">
        <v>5470.4920250736004</v>
      </c>
      <c r="J23" s="6">
        <v>5597.3611574255201</v>
      </c>
      <c r="K23" s="6">
        <v>5773.6435417101702</v>
      </c>
      <c r="L23" s="6">
        <v>6210.1210994667999</v>
      </c>
    </row>
    <row r="24" spans="1:20" x14ac:dyDescent="0.25">
      <c r="A24" s="4" t="s">
        <v>64</v>
      </c>
      <c r="B24" s="6">
        <v>5162.45244524585</v>
      </c>
      <c r="C24" s="6">
        <v>5168.0873729267296</v>
      </c>
      <c r="D24" s="6">
        <v>4905.3241242857102</v>
      </c>
      <c r="E24" s="6">
        <v>4930.4860818574498</v>
      </c>
      <c r="F24" s="6">
        <v>5124.4668063969502</v>
      </c>
      <c r="G24" s="6">
        <v>5199.1736228310001</v>
      </c>
      <c r="H24" s="6">
        <v>5117.2818170078699</v>
      </c>
      <c r="I24" s="6">
        <v>5164.6961509211596</v>
      </c>
      <c r="J24" s="6">
        <v>5075.3201079363798</v>
      </c>
      <c r="K24" s="6">
        <v>5329.3553687610201</v>
      </c>
      <c r="L24" s="6">
        <v>5934.8157107327797</v>
      </c>
    </row>
    <row r="25" spans="1:20" x14ac:dyDescent="0.25">
      <c r="A25" s="3" t="s">
        <v>75</v>
      </c>
    </row>
    <row r="26" spans="1:20" x14ac:dyDescent="0.25">
      <c r="A26" s="4" t="s">
        <v>26</v>
      </c>
      <c r="B26" s="6">
        <v>51861.381584722403</v>
      </c>
      <c r="C26" s="6">
        <v>51911.957733683397</v>
      </c>
      <c r="D26" s="6">
        <v>51913.840890429201</v>
      </c>
      <c r="E26" s="6">
        <v>51887.664534269403</v>
      </c>
      <c r="F26" s="6">
        <v>51874.650675566401</v>
      </c>
      <c r="G26" s="6">
        <v>52073.625244260198</v>
      </c>
      <c r="H26" s="6">
        <v>51918.195611443203</v>
      </c>
      <c r="I26" s="6">
        <v>52029.716925881003</v>
      </c>
      <c r="J26" s="6">
        <v>51655.648319247397</v>
      </c>
      <c r="K26" s="6">
        <v>51897.803306723697</v>
      </c>
      <c r="L26" s="6">
        <v>52354.743025065902</v>
      </c>
    </row>
    <row r="27" spans="1:20" x14ac:dyDescent="0.25">
      <c r="A27" s="4" t="s">
        <v>47</v>
      </c>
      <c r="B27" s="6">
        <v>51861.381584722403</v>
      </c>
      <c r="C27" s="6">
        <v>51911.957733683397</v>
      </c>
      <c r="D27" s="6">
        <v>51913.840890429201</v>
      </c>
      <c r="E27" s="6">
        <v>51887.664534269403</v>
      </c>
      <c r="F27" s="6">
        <v>51874.650675566401</v>
      </c>
      <c r="G27" s="6">
        <v>52073.625244260198</v>
      </c>
      <c r="H27" s="6">
        <v>51918.195611443203</v>
      </c>
      <c r="I27" s="6">
        <v>52029.716925881003</v>
      </c>
      <c r="J27" s="6">
        <v>51655.648319247397</v>
      </c>
      <c r="K27" s="6">
        <v>51897.803306723697</v>
      </c>
      <c r="L27" s="6">
        <v>52354.743025065902</v>
      </c>
    </row>
    <row r="28" spans="1:20" x14ac:dyDescent="0.25">
      <c r="A28" s="4" t="s">
        <v>63</v>
      </c>
      <c r="B28" s="6">
        <v>51861.381584722403</v>
      </c>
      <c r="C28" s="6">
        <v>51911.957733683499</v>
      </c>
      <c r="D28" s="6">
        <v>51913.840890429201</v>
      </c>
      <c r="E28" s="6">
        <v>51887.664534269403</v>
      </c>
      <c r="F28" s="6">
        <v>51874.650675566503</v>
      </c>
      <c r="G28" s="6">
        <v>52073.625244260198</v>
      </c>
      <c r="H28" s="6">
        <v>51918.195611443203</v>
      </c>
      <c r="I28" s="6">
        <v>52029.716925881003</v>
      </c>
      <c r="J28" s="6">
        <v>51655.648319247499</v>
      </c>
      <c r="K28" s="6">
        <v>51897.803306723697</v>
      </c>
      <c r="L28" s="6">
        <v>52354.743025065902</v>
      </c>
      <c r="O28" s="2" t="s">
        <v>90</v>
      </c>
      <c r="P28" s="2" t="s">
        <v>68</v>
      </c>
    </row>
    <row r="29" spans="1:20" x14ac:dyDescent="0.25">
      <c r="A29" s="4" t="s">
        <v>64</v>
      </c>
      <c r="B29" s="6">
        <v>51861.381584722403</v>
      </c>
      <c r="C29" s="6">
        <v>51911.957733683397</v>
      </c>
      <c r="D29" s="6">
        <v>51913.840890429201</v>
      </c>
      <c r="E29" s="6">
        <v>51887.664534269403</v>
      </c>
      <c r="F29" s="6">
        <v>51874.650675566401</v>
      </c>
      <c r="G29" s="6">
        <v>52073.625244260198</v>
      </c>
      <c r="H29" s="6">
        <v>51918.195611443203</v>
      </c>
      <c r="I29" s="6">
        <v>52029.716925881003</v>
      </c>
      <c r="J29" s="6">
        <v>51655.648319247397</v>
      </c>
      <c r="K29" s="6">
        <v>51897.803306723697</v>
      </c>
      <c r="L29" s="6">
        <v>52354.743025065902</v>
      </c>
      <c r="O29" s="2" t="s">
        <v>59</v>
      </c>
      <c r="P29" t="s">
        <v>26</v>
      </c>
      <c r="Q29" t="s">
        <v>47</v>
      </c>
      <c r="R29" t="s">
        <v>63</v>
      </c>
      <c r="S29" t="s">
        <v>64</v>
      </c>
      <c r="T29" t="s">
        <v>60</v>
      </c>
    </row>
    <row r="30" spans="1:20" x14ac:dyDescent="0.25">
      <c r="A30" s="3" t="s">
        <v>73</v>
      </c>
      <c r="O30" s="3">
        <v>0.5</v>
      </c>
      <c r="P30">
        <v>6277.2416078900296</v>
      </c>
      <c r="Q30">
        <v>6233.4727706988497</v>
      </c>
      <c r="R30">
        <v>6180.6081327797101</v>
      </c>
      <c r="S30">
        <v>6126.0154139160004</v>
      </c>
      <c r="T30">
        <v>24817.337925284592</v>
      </c>
    </row>
    <row r="31" spans="1:20" x14ac:dyDescent="0.25">
      <c r="A31" s="4" t="s">
        <v>26</v>
      </c>
      <c r="B31" s="6">
        <v>19374.063747999899</v>
      </c>
      <c r="C31" s="6">
        <v>19374.063747999899</v>
      </c>
      <c r="D31" s="6">
        <v>19374.063747999899</v>
      </c>
      <c r="E31" s="6">
        <v>19374.063747999899</v>
      </c>
      <c r="F31" s="6">
        <v>19374.063747999899</v>
      </c>
      <c r="G31" s="6">
        <v>19374.063747999899</v>
      </c>
      <c r="H31" s="6">
        <v>19374.063747999899</v>
      </c>
      <c r="I31" s="6">
        <v>19374.063747999899</v>
      </c>
      <c r="J31" s="6">
        <v>19374.063747999899</v>
      </c>
      <c r="K31" s="6">
        <v>19374.063747999899</v>
      </c>
      <c r="L31" s="6">
        <v>19374.063747999899</v>
      </c>
      <c r="O31" s="3">
        <v>0.8</v>
      </c>
      <c r="P31">
        <v>6631.6180625543702</v>
      </c>
      <c r="Q31">
        <v>6349.4739546001201</v>
      </c>
      <c r="R31">
        <v>6552.6810537729098</v>
      </c>
      <c r="S31">
        <v>6134.87351297228</v>
      </c>
      <c r="T31">
        <v>25668.646583899681</v>
      </c>
    </row>
    <row r="32" spans="1:20" x14ac:dyDescent="0.25">
      <c r="A32" s="4" t="s">
        <v>47</v>
      </c>
      <c r="B32" s="6">
        <v>19374.063747999899</v>
      </c>
      <c r="C32" s="6">
        <v>19374.063747999899</v>
      </c>
      <c r="D32" s="6">
        <v>19374.063747999899</v>
      </c>
      <c r="E32" s="6">
        <v>19374.063747999899</v>
      </c>
      <c r="F32" s="6">
        <v>19374.063747999899</v>
      </c>
      <c r="G32" s="6">
        <v>19374.063747999899</v>
      </c>
      <c r="H32" s="6">
        <v>19374.063747999899</v>
      </c>
      <c r="I32" s="6">
        <v>19374.063747999899</v>
      </c>
      <c r="J32" s="6">
        <v>19374.063747999899</v>
      </c>
      <c r="K32" s="6">
        <v>19374.063747999899</v>
      </c>
      <c r="L32" s="6">
        <v>19374.063747999899</v>
      </c>
      <c r="O32" s="3">
        <v>0.99</v>
      </c>
      <c r="P32">
        <v>6456.3168051327302</v>
      </c>
      <c r="Q32">
        <v>6447.8256482958404</v>
      </c>
      <c r="R32">
        <v>6577.89937683072</v>
      </c>
      <c r="S32">
        <v>6416.2119817735002</v>
      </c>
      <c r="T32">
        <v>25898.253812032792</v>
      </c>
    </row>
    <row r="33" spans="1:20" x14ac:dyDescent="0.25">
      <c r="A33" s="4" t="s">
        <v>63</v>
      </c>
      <c r="B33" s="6">
        <v>19374.063747999899</v>
      </c>
      <c r="C33" s="6">
        <v>19374.063747999899</v>
      </c>
      <c r="D33" s="6">
        <v>19374.063747999899</v>
      </c>
      <c r="E33" s="6">
        <v>19374.063747999899</v>
      </c>
      <c r="F33" s="6">
        <v>19374.063747999899</v>
      </c>
      <c r="G33" s="6">
        <v>19374.063747999899</v>
      </c>
      <c r="H33" s="6">
        <v>19374.063747999899</v>
      </c>
      <c r="I33" s="6">
        <v>19374.063747999899</v>
      </c>
      <c r="J33" s="6">
        <v>19374.063747999899</v>
      </c>
      <c r="K33" s="6">
        <v>19374.063747999899</v>
      </c>
      <c r="L33" s="6">
        <v>19374.063747999899</v>
      </c>
      <c r="O33" s="3" t="s">
        <v>60</v>
      </c>
      <c r="P33">
        <v>19365.176475577129</v>
      </c>
      <c r="Q33">
        <v>19030.772373594809</v>
      </c>
      <c r="R33">
        <v>19311.188563383341</v>
      </c>
      <c r="S33">
        <v>18677.100908661781</v>
      </c>
      <c r="T33">
        <v>76384.238321217068</v>
      </c>
    </row>
    <row r="34" spans="1:20" x14ac:dyDescent="0.25">
      <c r="A34" s="4" t="s">
        <v>64</v>
      </c>
      <c r="B34" s="6">
        <v>19374.063747999899</v>
      </c>
      <c r="C34" s="6">
        <v>19374.063747999899</v>
      </c>
      <c r="D34" s="6">
        <v>19374.063747999899</v>
      </c>
      <c r="E34" s="6">
        <v>19374.063747999899</v>
      </c>
      <c r="F34" s="6">
        <v>19374.063747999899</v>
      </c>
      <c r="G34" s="6">
        <v>19374.063747999899</v>
      </c>
      <c r="H34" s="6">
        <v>19374.063747999899</v>
      </c>
      <c r="I34" s="6">
        <v>19374.063747999899</v>
      </c>
      <c r="J34" s="6">
        <v>19374.063747999899</v>
      </c>
      <c r="K34" s="6">
        <v>19374.063747999899</v>
      </c>
      <c r="L34" s="6">
        <v>19374.063747999899</v>
      </c>
    </row>
    <row r="35" spans="1:20" x14ac:dyDescent="0.25">
      <c r="A35" s="3" t="s">
        <v>67</v>
      </c>
    </row>
    <row r="36" spans="1:20" x14ac:dyDescent="0.25">
      <c r="A36" s="4" t="s">
        <v>26</v>
      </c>
      <c r="B36" s="5">
        <v>0</v>
      </c>
      <c r="C36" s="5">
        <v>0</v>
      </c>
      <c r="D36" s="5">
        <v>0.63745723839761304</v>
      </c>
      <c r="E36" s="5">
        <v>2.0217440465076901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0.624070911427694</v>
      </c>
    </row>
    <row r="37" spans="1:20" x14ac:dyDescent="0.25">
      <c r="A37" s="4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20" x14ac:dyDescent="0.25">
      <c r="A38" s="4" t="s">
        <v>63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20" x14ac:dyDescent="0.25">
      <c r="A39" s="4" t="s">
        <v>64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20" x14ac:dyDescent="0.25">
      <c r="A40" s="3" t="s">
        <v>69</v>
      </c>
    </row>
    <row r="41" spans="1:20" x14ac:dyDescent="0.25">
      <c r="A41" s="4" t="s">
        <v>26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20" x14ac:dyDescent="0.25">
      <c r="A42" s="4" t="s">
        <v>47</v>
      </c>
      <c r="B42" s="5">
        <v>0</v>
      </c>
      <c r="C42" s="5">
        <v>0</v>
      </c>
      <c r="D42" s="5">
        <v>-2.8990143619012E-14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20" x14ac:dyDescent="0.2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0.64619769692231899</v>
      </c>
      <c r="K43" s="5">
        <v>0.324704003451113</v>
      </c>
      <c r="L43" s="5">
        <v>0.31916787609091601</v>
      </c>
    </row>
    <row r="44" spans="1:20" x14ac:dyDescent="0.25">
      <c r="A44" s="4" t="s">
        <v>64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20" x14ac:dyDescent="0.25">
      <c r="A45" s="3" t="s">
        <v>74</v>
      </c>
    </row>
    <row r="46" spans="1:20" x14ac:dyDescent="0.25">
      <c r="A46" s="4" t="s">
        <v>26</v>
      </c>
      <c r="B46" s="5">
        <v>2.8851920852446199E-14</v>
      </c>
      <c r="C46" s="5">
        <v>2.8851920852446199E-14</v>
      </c>
      <c r="D46" s="5">
        <v>2.8851920852446199E-14</v>
      </c>
      <c r="E46" s="5">
        <v>2.8851920852446199E-14</v>
      </c>
      <c r="F46" s="5">
        <v>2.8851920852446199E-14</v>
      </c>
      <c r="G46" s="5">
        <v>2.8851920852446199E-14</v>
      </c>
      <c r="H46" s="5">
        <v>2.8851920852446199E-14</v>
      </c>
      <c r="I46" s="5">
        <v>2.8851920852446199E-14</v>
      </c>
      <c r="J46" s="5">
        <v>2.8851920852446199E-14</v>
      </c>
      <c r="K46" s="5">
        <v>2.8851920852446199E-14</v>
      </c>
      <c r="L46" s="5">
        <v>2.8851920852446199E-14</v>
      </c>
    </row>
    <row r="47" spans="1:20" x14ac:dyDescent="0.25">
      <c r="A47" s="4" t="s">
        <v>47</v>
      </c>
      <c r="B47" s="5">
        <v>-3.17079695832944E-13</v>
      </c>
      <c r="C47" s="5">
        <v>-3.17079695832944E-13</v>
      </c>
      <c r="D47" s="5">
        <v>-3.17079695832944E-13</v>
      </c>
      <c r="E47" s="5">
        <v>-3.17079695832944E-13</v>
      </c>
      <c r="F47" s="5">
        <v>-3.17079695832944E-13</v>
      </c>
      <c r="G47" s="5">
        <v>-3.17079695832944E-13</v>
      </c>
      <c r="H47" s="5">
        <v>-3.17079695832944E-13</v>
      </c>
      <c r="I47" s="5">
        <v>-3.17079695832944E-13</v>
      </c>
      <c r="J47" s="5">
        <v>-3.17079695832944E-13</v>
      </c>
      <c r="K47" s="5">
        <v>-3.17079695832944E-13</v>
      </c>
      <c r="L47" s="5">
        <v>-3.17079695832944E-13</v>
      </c>
    </row>
    <row r="48" spans="1:20" x14ac:dyDescent="0.25">
      <c r="A48" s="4" t="s">
        <v>63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25">
      <c r="A49" s="4" t="s">
        <v>64</v>
      </c>
      <c r="B49" s="5">
        <v>2.8851920852446199E-14</v>
      </c>
      <c r="C49" s="5">
        <v>2.8851920852446199E-14</v>
      </c>
      <c r="D49" s="5">
        <v>2.8851920852446199E-14</v>
      </c>
      <c r="E49" s="5">
        <v>2.8851920852446199E-14</v>
      </c>
      <c r="F49" s="5">
        <v>2.8851920852446199E-14</v>
      </c>
      <c r="G49" s="5">
        <v>2.8851920852446199E-14</v>
      </c>
      <c r="H49" s="5">
        <v>2.8851920852446199E-14</v>
      </c>
      <c r="I49" s="5">
        <v>2.8851920852446199E-14</v>
      </c>
      <c r="J49" s="5">
        <v>2.8851920852446199E-14</v>
      </c>
      <c r="K49" s="5">
        <v>2.8851920852446199E-14</v>
      </c>
      <c r="L49" s="5">
        <v>2.8851920852446199E-14</v>
      </c>
    </row>
    <row r="51" spans="1:12" x14ac:dyDescent="0.25">
      <c r="A51" t="s">
        <v>26</v>
      </c>
      <c r="B51">
        <f>GETPIVOTDATA("Sum of input_load_MWh",$A$3,"model_type",$A51,"rho",B4)-GETPIVOTDATA("Sum of input_RES_production_MWh",$A$3,"model_type",$A51,"rho",B4)-GETPIVOTDATA("Sum of E_thermal_production_MWh",$A$3,"model_type",$A51,"rho",B4)-GETPIVOTDATA("Sum of E_nonRES_nonThermal_production_MWh",$A$3,"model_type",$A51,"rho",B4)-GETPIVOTDATA("Sum of E_storage_discharge_MWh",$A$3,"model_type",$A51,"rho",B4)+GETPIVOTDATA("Sum of E_storage_charge_MWh",$A$3,"model_type",$A51,"rho",B4)-GETPIVOTDATA("Sum of EENS",$A$3,"model_type",$A51,"rho",B4)+GETPIVOTDATA("Sum of ELGEN",$A$3,"model_type",$A51,"rho",B4)</f>
        <v>6.2755134422332048E-11</v>
      </c>
      <c r="C51">
        <f t="shared" ref="C51:K51" si="2">GETPIVOTDATA("Sum of input_load_MWh",$A$3,"model_type",$A51,"rho",C4)-GETPIVOTDATA("Sum of input_RES_production_MWh",$A$3,"model_type",$A51,"rho",C4)-GETPIVOTDATA("Sum of E_thermal_production_MWh",$A$3,"model_type",$A51,"rho",C4)-GETPIVOTDATA("Sum of E_nonRES_nonThermal_production_MWh",$A$3,"model_type",$A51,"rho",C4)-GETPIVOTDATA("Sum of E_storage_discharge_MWh",$A$3,"model_type",$A51,"rho",C4)+GETPIVOTDATA("Sum of E_storage_charge_MWh",$A$3,"model_type",$A51,"rho",C4)-GETPIVOTDATA("Sum of EENS",$A$3,"model_type",$A51,"rho",C4)+GETPIVOTDATA("Sum of ELGEN",$A$3,"model_type",$A51,"rho",C4)</f>
        <v>8.1854523159563541E-12</v>
      </c>
      <c r="D51">
        <f t="shared" si="2"/>
        <v>1.7357415504903884E-10</v>
      </c>
      <c r="E51">
        <f t="shared" si="2"/>
        <v>1.6273205005745695E-11</v>
      </c>
      <c r="F51">
        <f t="shared" si="2"/>
        <v>-1.9099388737231493E-11</v>
      </c>
      <c r="G51">
        <f t="shared" si="2"/>
        <v>1.2914824765175581E-10</v>
      </c>
      <c r="H51">
        <f t="shared" si="2"/>
        <v>1.1459633242338896E-10</v>
      </c>
      <c r="I51">
        <f t="shared" si="2"/>
        <v>1.0459189070388675E-10</v>
      </c>
      <c r="J51">
        <f t="shared" si="2"/>
        <v>6.8212102632969618E-11</v>
      </c>
      <c r="K51">
        <f t="shared" si="2"/>
        <v>1.7826096154749393E-10</v>
      </c>
      <c r="L51">
        <f>GETPIVOTDATA("Sum of input_load_MWh",$A$3,"model_type",$A51,"rho",L4)-GETPIVOTDATA("Sum of input_RES_production_MWh",$A$3,"model_type",$A51,"rho",L4)-GETPIVOTDATA("Sum of E_thermal_production_MWh",$A$3,"model_type",$A51,"rho",L4)-GETPIVOTDATA("Sum of E_nonRES_nonThermal_production_MWh",$A$3,"model_type",$A51,"rho",L4)-GETPIVOTDATA("Sum of E_storage_discharge_MWh",$A$3,"model_type",$A51,"rho",L4)+GETPIVOTDATA("Sum of E_storage_charge_MWh",$A$3,"model_type",$A51,"rho",L4)-GETPIVOTDATA("Sum of EENS",$A$3,"model_type",$A51,"rho",L4)+GETPIVOTDATA("Sum of ELGEN",$A$3,"model_type",$A51,"rho",L4)</f>
        <v>-6.3224203650236177E-11</v>
      </c>
    </row>
    <row r="52" spans="1:12" x14ac:dyDescent="0.25">
      <c r="A52" t="s">
        <v>47</v>
      </c>
      <c r="B52">
        <f>GETPIVOTDATA("Sum of input_load_MWh",$A$3,"model_type",$A52,"rho",B4)-GETPIVOTDATA("Sum of input_RES_production_MWh",$A$3,"model_type",$A52,"rho",B4)-GETPIVOTDATA("Sum of E_thermal_production_MWh",$A$3,"model_type",$A52,"rho",B4)-GETPIVOTDATA("Sum of E_nonRES_nonThermal_production_MWh",$A$3,"model_type",$A52,"rho",B4)-GETPIVOTDATA("Sum of E_storage_discharge_MWh",$A$3,"model_type",$A52,"rho",B4)+GETPIVOTDATA("Sum of E_storage_charge_MWh",$A$3,"model_type",$A52,"rho",B4)-GETPIVOTDATA("Sum of EENS",$A$3,"model_type",$A52,"rho",B4)+GETPIVOTDATA("Sum of ELGEN",$A$3,"model_type",$A52,"rho",B4)</f>
        <v>-5.6388671509921551E-11</v>
      </c>
      <c r="C52">
        <f t="shared" ref="C52:L52" si="3">GETPIVOTDATA("Sum of input_load_MWh",$A$3,"model_type",$A52,"rho",C4)-GETPIVOTDATA("Sum of input_RES_production_MWh",$A$3,"model_type",$A52,"rho",C4)-GETPIVOTDATA("Sum of E_thermal_production_MWh",$A$3,"model_type",$A52,"rho",C4)-GETPIVOTDATA("Sum of E_nonRES_nonThermal_production_MWh",$A$3,"model_type",$A52,"rho",C4)-GETPIVOTDATA("Sum of E_storage_discharge_MWh",$A$3,"model_type",$A52,"rho",C4)+GETPIVOTDATA("Sum of E_storage_charge_MWh",$A$3,"model_type",$A52,"rho",C4)-GETPIVOTDATA("Sum of EENS",$A$3,"model_type",$A52,"rho",C4)+GETPIVOTDATA("Sum of ELGEN",$A$3,"model_type",$A52,"rho",C4)</f>
        <v>5.9117155615240335E-11</v>
      </c>
      <c r="D52">
        <f t="shared" si="3"/>
        <v>1.8096045550919369E-10</v>
      </c>
      <c r="E52">
        <f t="shared" si="3"/>
        <v>2.3646862246096134E-11</v>
      </c>
      <c r="F52">
        <f t="shared" si="3"/>
        <v>-1.8189894035458565E-11</v>
      </c>
      <c r="G52">
        <f t="shared" si="3"/>
        <v>1.3005774235352874E-10</v>
      </c>
      <c r="H52">
        <f t="shared" si="3"/>
        <v>1.2278178473934531E-10</v>
      </c>
      <c r="I52">
        <f t="shared" si="3"/>
        <v>1.0277290130034089E-10</v>
      </c>
      <c r="J52">
        <f t="shared" si="3"/>
        <v>4.9112713895738125E-11</v>
      </c>
      <c r="K52">
        <f t="shared" si="3"/>
        <v>1.7735146684572101E-10</v>
      </c>
      <c r="L52">
        <f t="shared" si="3"/>
        <v>-4.5474735088646412E-11</v>
      </c>
    </row>
    <row r="53" spans="1:12" x14ac:dyDescent="0.25">
      <c r="A53" t="s">
        <v>63</v>
      </c>
    </row>
    <row r="54" spans="1:12" x14ac:dyDescent="0.25">
      <c r="A54" t="s">
        <v>64</v>
      </c>
      <c r="J54" s="7"/>
    </row>
  </sheetData>
  <conditionalFormatting pivot="1" sqref="B6:L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1:L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6:L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50D8-56B5-417A-96A9-001D93A23AEE}">
  <dimension ref="A1:AJ45"/>
  <sheetViews>
    <sheetView workbookViewId="0">
      <selection activeCell="A5" sqref="A5"/>
    </sheetView>
  </sheetViews>
  <sheetFormatPr defaultRowHeight="15" x14ac:dyDescent="0.25"/>
  <cols>
    <col min="35" max="35" width="16.28515625" bestFit="1" customWidth="1"/>
  </cols>
  <sheetData>
    <row r="1" spans="1:36" x14ac:dyDescent="0.25">
      <c r="A1" t="s">
        <v>0</v>
      </c>
      <c r="B1" t="s">
        <v>1</v>
      </c>
      <c r="C1" t="s">
        <v>66</v>
      </c>
      <c r="D1" t="s">
        <v>2</v>
      </c>
      <c r="E1" t="s">
        <v>3</v>
      </c>
      <c r="F1" t="s">
        <v>4</v>
      </c>
      <c r="G1" t="s">
        <v>5</v>
      </c>
      <c r="H1" t="s">
        <v>76</v>
      </c>
      <c r="I1" t="s">
        <v>85</v>
      </c>
      <c r="J1" t="s">
        <v>77</v>
      </c>
      <c r="K1" t="s">
        <v>6</v>
      </c>
      <c r="L1" t="s">
        <v>86</v>
      </c>
      <c r="M1" t="s">
        <v>7</v>
      </c>
      <c r="N1" t="s">
        <v>8</v>
      </c>
      <c r="O1" t="s">
        <v>9</v>
      </c>
      <c r="P1" t="s">
        <v>10</v>
      </c>
      <c r="Q1" t="s">
        <v>87</v>
      </c>
      <c r="R1" t="s">
        <v>11</v>
      </c>
      <c r="S1" t="s">
        <v>78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79</v>
      </c>
      <c r="AA1" t="s">
        <v>88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80</v>
      </c>
      <c r="AI1" t="s">
        <v>24</v>
      </c>
      <c r="AJ1" t="s">
        <v>25</v>
      </c>
    </row>
    <row r="2" spans="1:36" x14ac:dyDescent="0.25">
      <c r="A2" t="s">
        <v>26</v>
      </c>
      <c r="B2">
        <v>30</v>
      </c>
      <c r="C2">
        <v>0</v>
      </c>
      <c r="D2" t="s">
        <v>27</v>
      </c>
      <c r="E2" t="s">
        <v>28</v>
      </c>
      <c r="F2">
        <v>7</v>
      </c>
      <c r="G2">
        <v>800627.13544999505</v>
      </c>
      <c r="H2">
        <v>51215.538215999797</v>
      </c>
      <c r="I2">
        <v>5433.0045870534695</v>
      </c>
      <c r="J2">
        <v>9.9048019109000095E-3</v>
      </c>
      <c r="K2">
        <v>9.9048019109000095E-3</v>
      </c>
      <c r="L2">
        <v>6325.1541802527199</v>
      </c>
      <c r="M2">
        <v>-0.18749999600544501</v>
      </c>
      <c r="N2">
        <v>19374.063747999899</v>
      </c>
      <c r="O2">
        <v>0</v>
      </c>
      <c r="P2">
        <v>800627.13547786896</v>
      </c>
      <c r="Q2">
        <v>31857.027429921702</v>
      </c>
      <c r="R2">
        <v>0</v>
      </c>
      <c r="S2">
        <v>749411.58735706599</v>
      </c>
      <c r="T2">
        <v>28.885101261934398</v>
      </c>
      <c r="U2">
        <v>0.61362047126878005</v>
      </c>
      <c r="V2" s="1">
        <v>2.8851920852446199E-14</v>
      </c>
      <c r="W2" s="1">
        <v>2.7874346124008199E-5</v>
      </c>
      <c r="X2">
        <v>0</v>
      </c>
      <c r="Y2">
        <v>0</v>
      </c>
      <c r="Z2">
        <v>0</v>
      </c>
      <c r="AA2">
        <v>1522.4399999999901</v>
      </c>
      <c r="AB2">
        <v>0</v>
      </c>
      <c r="AC2">
        <v>0</v>
      </c>
      <c r="AD2">
        <v>0</v>
      </c>
      <c r="AE2">
        <v>800627.12557306699</v>
      </c>
      <c r="AF2">
        <v>51861.381584722403</v>
      </c>
      <c r="AG2">
        <v>800627.12554519298</v>
      </c>
      <c r="AH2">
        <v>0.3</v>
      </c>
    </row>
    <row r="3" spans="1:36" x14ac:dyDescent="0.25">
      <c r="A3" t="s">
        <v>64</v>
      </c>
      <c r="B3">
        <v>30</v>
      </c>
      <c r="C3">
        <v>0</v>
      </c>
      <c r="D3" t="s">
        <v>27</v>
      </c>
      <c r="E3" t="s">
        <v>29</v>
      </c>
      <c r="F3">
        <v>7</v>
      </c>
      <c r="G3">
        <v>808058.21510188805</v>
      </c>
      <c r="H3">
        <v>57486.303755999797</v>
      </c>
      <c r="I3">
        <v>5162.45244524585</v>
      </c>
      <c r="J3">
        <v>9.9048019109000095E-3</v>
      </c>
      <c r="K3">
        <v>9.9048019109000095E-3</v>
      </c>
      <c r="L3">
        <v>6002.6454961628197</v>
      </c>
      <c r="M3">
        <v>-3.74999833749999E-2</v>
      </c>
      <c r="N3">
        <v>19374.063747999899</v>
      </c>
      <c r="O3">
        <v>0</v>
      </c>
      <c r="P3">
        <v>808058.21512385004</v>
      </c>
      <c r="Q3">
        <v>31805.0708876395</v>
      </c>
      <c r="R3">
        <v>1.1209352831295201</v>
      </c>
      <c r="S3">
        <v>750571.90146304795</v>
      </c>
      <c r="T3">
        <v>29.265796351075</v>
      </c>
      <c r="U3">
        <v>4.1950846687430898</v>
      </c>
      <c r="V3" s="1">
        <v>2.8851920852446199E-14</v>
      </c>
      <c r="W3" s="1">
        <v>2.19616270624101E-5</v>
      </c>
      <c r="X3">
        <v>0</v>
      </c>
      <c r="Y3">
        <v>0</v>
      </c>
      <c r="Z3">
        <v>0</v>
      </c>
      <c r="AA3">
        <v>1522.4399999999901</v>
      </c>
      <c r="AB3">
        <v>0</v>
      </c>
      <c r="AC3">
        <v>0</v>
      </c>
      <c r="AD3">
        <v>0</v>
      </c>
      <c r="AE3">
        <v>808058.20521904796</v>
      </c>
      <c r="AF3">
        <v>51861.381584722403</v>
      </c>
      <c r="AG3">
        <v>808058.20519708702</v>
      </c>
      <c r="AH3">
        <v>1</v>
      </c>
    </row>
    <row r="4" spans="1:36" x14ac:dyDescent="0.25">
      <c r="A4" t="s">
        <v>26</v>
      </c>
      <c r="B4">
        <v>30</v>
      </c>
      <c r="C4">
        <v>0.1</v>
      </c>
      <c r="D4" t="s">
        <v>30</v>
      </c>
      <c r="E4" t="s">
        <v>28</v>
      </c>
      <c r="F4">
        <v>7</v>
      </c>
      <c r="G4">
        <v>800160.25849176897</v>
      </c>
      <c r="H4">
        <v>51215.538215999797</v>
      </c>
      <c r="I4">
        <v>5566.8430765958401</v>
      </c>
      <c r="J4">
        <v>9.6977837672500202E-3</v>
      </c>
      <c r="K4">
        <v>9.6977837672499699E-3</v>
      </c>
      <c r="L4">
        <v>6428.2440876139399</v>
      </c>
      <c r="M4">
        <v>12.3124999985481</v>
      </c>
      <c r="N4">
        <v>19374.063747999899</v>
      </c>
      <c r="O4">
        <v>0</v>
      </c>
      <c r="P4">
        <v>800160.25852527295</v>
      </c>
      <c r="Q4">
        <v>31876.854996701601</v>
      </c>
      <c r="R4">
        <v>0</v>
      </c>
      <c r="S4">
        <v>748944.71061148902</v>
      </c>
      <c r="T4">
        <v>28.7445260240751</v>
      </c>
      <c r="U4">
        <v>0.53142576096118899</v>
      </c>
      <c r="V4" s="1">
        <v>2.8851920852446199E-14</v>
      </c>
      <c r="W4" s="1">
        <v>3.3504479797556899E-5</v>
      </c>
      <c r="X4">
        <v>0</v>
      </c>
      <c r="Y4">
        <v>0</v>
      </c>
      <c r="Z4">
        <v>0</v>
      </c>
      <c r="AA4">
        <v>1522.4399999999901</v>
      </c>
      <c r="AB4">
        <v>0</v>
      </c>
      <c r="AC4">
        <v>0</v>
      </c>
      <c r="AD4">
        <v>0</v>
      </c>
      <c r="AE4">
        <v>800160.24882748898</v>
      </c>
      <c r="AF4">
        <v>51911.957733683397</v>
      </c>
      <c r="AG4">
        <v>800160.24879398395</v>
      </c>
      <c r="AH4">
        <v>0.3</v>
      </c>
    </row>
    <row r="5" spans="1:36" x14ac:dyDescent="0.25">
      <c r="A5" t="s">
        <v>64</v>
      </c>
      <c r="B5">
        <v>30</v>
      </c>
      <c r="C5">
        <v>0.1</v>
      </c>
      <c r="D5" t="s">
        <v>30</v>
      </c>
      <c r="E5" t="s">
        <v>29</v>
      </c>
      <c r="F5">
        <v>7</v>
      </c>
      <c r="G5">
        <v>807863.59565707401</v>
      </c>
      <c r="H5">
        <v>57213.661775999899</v>
      </c>
      <c r="I5">
        <v>5168.0873729267296</v>
      </c>
      <c r="J5">
        <v>9.6977837672500202E-3</v>
      </c>
      <c r="K5">
        <v>9.6977837672500202E-3</v>
      </c>
      <c r="L5">
        <v>5967.1442358201002</v>
      </c>
      <c r="M5" s="1">
        <v>1.7916666666666599E-8</v>
      </c>
      <c r="N5">
        <v>19374.063747999899</v>
      </c>
      <c r="O5">
        <v>0</v>
      </c>
      <c r="P5">
        <v>807863.595665487</v>
      </c>
      <c r="Q5">
        <v>31814.5108485768</v>
      </c>
      <c r="R5">
        <v>1.29754462612264</v>
      </c>
      <c r="S5">
        <v>750649.92419170402</v>
      </c>
      <c r="T5">
        <v>29.372077882982001</v>
      </c>
      <c r="U5">
        <v>4.4382164266978101</v>
      </c>
      <c r="V5" s="1">
        <v>2.8851920852446199E-14</v>
      </c>
      <c r="W5" s="1">
        <v>8.4140058606862999E-6</v>
      </c>
      <c r="X5">
        <v>0</v>
      </c>
      <c r="Y5">
        <v>0</v>
      </c>
      <c r="Z5">
        <v>0</v>
      </c>
      <c r="AA5">
        <v>1522.4399999999901</v>
      </c>
      <c r="AB5">
        <v>0</v>
      </c>
      <c r="AC5">
        <v>0</v>
      </c>
      <c r="AD5">
        <v>0</v>
      </c>
      <c r="AE5">
        <v>807863.58596770396</v>
      </c>
      <c r="AF5">
        <v>51911.957733683397</v>
      </c>
      <c r="AG5">
        <v>807863.58595929004</v>
      </c>
      <c r="AH5">
        <v>1</v>
      </c>
    </row>
    <row r="6" spans="1:36" x14ac:dyDescent="0.25">
      <c r="A6" t="s">
        <v>26</v>
      </c>
      <c r="B6">
        <v>30</v>
      </c>
      <c r="C6">
        <v>0.2</v>
      </c>
      <c r="D6" t="s">
        <v>31</v>
      </c>
      <c r="E6" t="s">
        <v>32</v>
      </c>
      <c r="F6">
        <v>7</v>
      </c>
      <c r="G6">
        <v>800452.99422262004</v>
      </c>
      <c r="H6">
        <v>51215.538215999797</v>
      </c>
      <c r="I6">
        <v>5396.3722039334098</v>
      </c>
      <c r="J6">
        <v>1.0291565842974901E-2</v>
      </c>
      <c r="K6">
        <v>1.0291565842974901E-2</v>
      </c>
      <c r="L6">
        <v>6242.0618652290696</v>
      </c>
      <c r="M6">
        <v>92.719044581132096</v>
      </c>
      <c r="N6">
        <v>19374.063747999899</v>
      </c>
      <c r="O6">
        <v>6374.5723839761304</v>
      </c>
      <c r="P6">
        <v>806827.56661677605</v>
      </c>
      <c r="Q6">
        <v>31862.389346486401</v>
      </c>
      <c r="R6">
        <v>0</v>
      </c>
      <c r="S6">
        <v>749237.44572523504</v>
      </c>
      <c r="T6">
        <v>28.7445260240751</v>
      </c>
      <c r="U6">
        <v>0.54119945691454696</v>
      </c>
      <c r="V6" s="1">
        <v>2.8851920852446199E-14</v>
      </c>
      <c r="W6" s="1">
        <v>1.01804023142904E-5</v>
      </c>
      <c r="X6">
        <v>0.01</v>
      </c>
      <c r="Y6">
        <v>0</v>
      </c>
      <c r="Z6">
        <v>0</v>
      </c>
      <c r="AA6">
        <v>1522.4399999999901</v>
      </c>
      <c r="AB6">
        <v>0</v>
      </c>
      <c r="AC6">
        <v>0</v>
      </c>
      <c r="AD6">
        <v>0.63745723839761304</v>
      </c>
      <c r="AE6">
        <v>800452.98394123395</v>
      </c>
      <c r="AF6">
        <v>51913.840890429201</v>
      </c>
      <c r="AG6">
        <v>800452.98393105401</v>
      </c>
      <c r="AH6">
        <v>0.32</v>
      </c>
    </row>
    <row r="7" spans="1:36" x14ac:dyDescent="0.25">
      <c r="A7" t="s">
        <v>64</v>
      </c>
      <c r="B7">
        <v>30</v>
      </c>
      <c r="C7">
        <v>0.2</v>
      </c>
      <c r="D7" t="s">
        <v>31</v>
      </c>
      <c r="E7" t="s">
        <v>29</v>
      </c>
      <c r="F7">
        <v>7</v>
      </c>
      <c r="G7">
        <v>811588.96768478397</v>
      </c>
      <c r="H7">
        <v>57486.303755999797</v>
      </c>
      <c r="I7">
        <v>4905.3241242857102</v>
      </c>
      <c r="J7">
        <v>1.0291565842974901E-2</v>
      </c>
      <c r="K7">
        <v>1.0291565842974901E-2</v>
      </c>
      <c r="L7">
        <v>5718.1959454235302</v>
      </c>
      <c r="M7">
        <v>-3.7499987875000002E-2</v>
      </c>
      <c r="N7">
        <v>19374.063747999899</v>
      </c>
      <c r="O7">
        <v>0</v>
      </c>
      <c r="P7">
        <v>811588.96768260002</v>
      </c>
      <c r="Q7">
        <v>31830.208963567002</v>
      </c>
      <c r="R7">
        <v>4.5120214253901798</v>
      </c>
      <c r="S7">
        <v>754102.65363503399</v>
      </c>
      <c r="T7">
        <v>29.1806056245373</v>
      </c>
      <c r="U7">
        <v>4.2002194716085999</v>
      </c>
      <c r="V7" s="1">
        <v>2.8851920852446199E-14</v>
      </c>
      <c r="W7" s="1">
        <v>-2.1837465465068802E-6</v>
      </c>
      <c r="X7">
        <v>0</v>
      </c>
      <c r="Y7">
        <v>0</v>
      </c>
      <c r="Z7">
        <v>0</v>
      </c>
      <c r="AA7">
        <v>1522.4399999999901</v>
      </c>
      <c r="AB7">
        <v>0</v>
      </c>
      <c r="AC7">
        <v>0</v>
      </c>
      <c r="AD7">
        <v>0</v>
      </c>
      <c r="AE7">
        <v>811588.95739103295</v>
      </c>
      <c r="AF7">
        <v>51913.840890429201</v>
      </c>
      <c r="AG7">
        <v>811588.95739321795</v>
      </c>
      <c r="AH7">
        <v>1</v>
      </c>
    </row>
    <row r="8" spans="1:36" x14ac:dyDescent="0.25">
      <c r="A8" t="s">
        <v>26</v>
      </c>
      <c r="B8">
        <v>30</v>
      </c>
      <c r="C8">
        <v>0.3</v>
      </c>
      <c r="D8" t="s">
        <v>33</v>
      </c>
      <c r="E8" t="s">
        <v>32</v>
      </c>
      <c r="F8">
        <v>7</v>
      </c>
      <c r="G8">
        <v>800411.44830748404</v>
      </c>
      <c r="H8">
        <v>51215.538215999797</v>
      </c>
      <c r="I8">
        <v>5411.7532000602496</v>
      </c>
      <c r="J8">
        <v>9.9448435359500102E-3</v>
      </c>
      <c r="K8">
        <v>9.9448435359500102E-3</v>
      </c>
      <c r="L8">
        <v>6286.5579776984596</v>
      </c>
      <c r="M8">
        <v>93.928044084227196</v>
      </c>
      <c r="N8">
        <v>19374.063747999899</v>
      </c>
      <c r="O8">
        <v>20217.440465076899</v>
      </c>
      <c r="P8">
        <v>820628.88878700696</v>
      </c>
      <c r="Q8">
        <v>31863.943819861201</v>
      </c>
      <c r="R8">
        <v>0</v>
      </c>
      <c r="S8">
        <v>749195.900161086</v>
      </c>
      <c r="T8">
        <v>28.7445260240751</v>
      </c>
      <c r="U8">
        <v>0.58862157727854303</v>
      </c>
      <c r="V8" s="1">
        <v>2.8851920852446199E-14</v>
      </c>
      <c r="W8" s="1">
        <v>1.4445572160184299E-5</v>
      </c>
      <c r="X8">
        <v>0.02</v>
      </c>
      <c r="Y8">
        <v>0</v>
      </c>
      <c r="Z8">
        <v>0</v>
      </c>
      <c r="AA8">
        <v>1522.4399999999901</v>
      </c>
      <c r="AB8">
        <v>0</v>
      </c>
      <c r="AC8">
        <v>0</v>
      </c>
      <c r="AD8">
        <v>2.0217440465076901</v>
      </c>
      <c r="AE8">
        <v>800411.43837708596</v>
      </c>
      <c r="AF8">
        <v>51887.664534269403</v>
      </c>
      <c r="AG8">
        <v>800411.43836264196</v>
      </c>
      <c r="AH8">
        <v>0.32</v>
      </c>
    </row>
    <row r="9" spans="1:36" x14ac:dyDescent="0.25">
      <c r="A9" t="s">
        <v>64</v>
      </c>
      <c r="B9">
        <v>30</v>
      </c>
      <c r="C9">
        <v>0.3</v>
      </c>
      <c r="D9" t="s">
        <v>33</v>
      </c>
      <c r="E9" t="s">
        <v>29</v>
      </c>
      <c r="F9">
        <v>7</v>
      </c>
      <c r="G9">
        <v>808877.05385984597</v>
      </c>
      <c r="H9">
        <v>57486.303755999797</v>
      </c>
      <c r="I9">
        <v>4930.4860818574498</v>
      </c>
      <c r="J9">
        <v>9.9448435359500206E-3</v>
      </c>
      <c r="K9">
        <v>9.9448435359500102E-3</v>
      </c>
      <c r="L9">
        <v>5707.7908465506698</v>
      </c>
      <c r="M9">
        <v>-3.7499985958333301E-2</v>
      </c>
      <c r="N9">
        <v>19374.063747999899</v>
      </c>
      <c r="O9">
        <v>0</v>
      </c>
      <c r="P9">
        <v>808877.053867999</v>
      </c>
      <c r="Q9">
        <v>31768.465550962799</v>
      </c>
      <c r="R9">
        <v>1.16367900803435</v>
      </c>
      <c r="S9">
        <v>751390.74016715505</v>
      </c>
      <c r="T9">
        <v>29.092536640770899</v>
      </c>
      <c r="U9">
        <v>4.4575345768274799</v>
      </c>
      <c r="V9" s="1">
        <v>2.8851920852446199E-14</v>
      </c>
      <c r="W9" s="1">
        <v>8.1525300629436899E-6</v>
      </c>
      <c r="X9">
        <v>0</v>
      </c>
      <c r="Y9">
        <v>0</v>
      </c>
      <c r="Z9">
        <v>0</v>
      </c>
      <c r="AA9">
        <v>1522.4399999999901</v>
      </c>
      <c r="AB9">
        <v>0</v>
      </c>
      <c r="AC9">
        <v>0</v>
      </c>
      <c r="AD9">
        <v>0</v>
      </c>
      <c r="AE9">
        <v>808877.04392315401</v>
      </c>
      <c r="AF9">
        <v>51887.664534269403</v>
      </c>
      <c r="AG9">
        <v>808877.04391500296</v>
      </c>
      <c r="AH9">
        <v>1</v>
      </c>
    </row>
    <row r="10" spans="1:36" x14ac:dyDescent="0.25">
      <c r="A10" t="s">
        <v>26</v>
      </c>
      <c r="B10">
        <v>30</v>
      </c>
      <c r="C10">
        <v>0.4</v>
      </c>
      <c r="D10" t="s">
        <v>34</v>
      </c>
      <c r="E10" t="s">
        <v>35</v>
      </c>
      <c r="F10">
        <v>7</v>
      </c>
      <c r="G10">
        <v>800162.67143818096</v>
      </c>
      <c r="H10">
        <v>51215.538215999797</v>
      </c>
      <c r="I10">
        <v>5379.5991091179503</v>
      </c>
      <c r="J10">
        <v>9.8976117661999808E-3</v>
      </c>
      <c r="K10">
        <v>9.8976117661999808E-3</v>
      </c>
      <c r="L10">
        <v>6278.53447149982</v>
      </c>
      <c r="M10">
        <v>-0.14999999396501601</v>
      </c>
      <c r="N10">
        <v>19374.063747999899</v>
      </c>
      <c r="O10">
        <v>0</v>
      </c>
      <c r="P10">
        <v>800162.67143617896</v>
      </c>
      <c r="Q10">
        <v>31877.082289948401</v>
      </c>
      <c r="R10">
        <v>0</v>
      </c>
      <c r="S10">
        <v>748947.12332256697</v>
      </c>
      <c r="T10">
        <v>28.7445260240751</v>
      </c>
      <c r="U10">
        <v>0.54119945691454796</v>
      </c>
      <c r="V10" s="1">
        <v>2.8851920852446199E-14</v>
      </c>
      <c r="W10" s="1">
        <v>-2.0018161740154E-6</v>
      </c>
      <c r="X10">
        <v>0</v>
      </c>
      <c r="Y10">
        <v>0</v>
      </c>
      <c r="Z10">
        <v>0</v>
      </c>
      <c r="AA10">
        <v>1522.4399999999901</v>
      </c>
      <c r="AB10">
        <v>0</v>
      </c>
      <c r="AC10">
        <v>0</v>
      </c>
      <c r="AD10">
        <v>0</v>
      </c>
      <c r="AE10">
        <v>800162.66153856704</v>
      </c>
      <c r="AF10">
        <v>51874.650675566401</v>
      </c>
      <c r="AG10">
        <v>800162.66154056799</v>
      </c>
      <c r="AH10">
        <v>0.37</v>
      </c>
    </row>
    <row r="11" spans="1:36" x14ac:dyDescent="0.25">
      <c r="A11" t="s">
        <v>64</v>
      </c>
      <c r="B11">
        <v>30</v>
      </c>
      <c r="C11">
        <v>0.4</v>
      </c>
      <c r="D11" t="s">
        <v>34</v>
      </c>
      <c r="E11" t="s">
        <v>29</v>
      </c>
      <c r="F11">
        <v>7</v>
      </c>
      <c r="G11">
        <v>807195.26805134094</v>
      </c>
      <c r="H11">
        <v>57213.661775999899</v>
      </c>
      <c r="I11">
        <v>5124.4668063969502</v>
      </c>
      <c r="J11">
        <v>9.8976117661999808E-3</v>
      </c>
      <c r="K11">
        <v>9.8976117661999808E-3</v>
      </c>
      <c r="L11">
        <v>5973.1509961832498</v>
      </c>
      <c r="M11">
        <v>-3.7499980541666603E-2</v>
      </c>
      <c r="N11">
        <v>19374.063747999899</v>
      </c>
      <c r="O11">
        <v>0</v>
      </c>
      <c r="P11">
        <v>807195.26804419304</v>
      </c>
      <c r="Q11">
        <v>31826.831117352802</v>
      </c>
      <c r="R11">
        <v>1.12712537584932</v>
      </c>
      <c r="S11">
        <v>749981.596370582</v>
      </c>
      <c r="T11">
        <v>28.5792369741669</v>
      </c>
      <c r="U11">
        <v>2.1330015423647501</v>
      </c>
      <c r="V11" s="1">
        <v>2.8851920852446199E-14</v>
      </c>
      <c r="W11" s="1">
        <v>-7.1469193790107897E-6</v>
      </c>
      <c r="X11">
        <v>0</v>
      </c>
      <c r="Y11">
        <v>0</v>
      </c>
      <c r="Z11">
        <v>0</v>
      </c>
      <c r="AA11">
        <v>1522.4399999999901</v>
      </c>
      <c r="AB11">
        <v>0</v>
      </c>
      <c r="AC11">
        <v>0</v>
      </c>
      <c r="AD11">
        <v>0</v>
      </c>
      <c r="AE11">
        <v>807195.25814658101</v>
      </c>
      <c r="AF11">
        <v>51874.650675566401</v>
      </c>
      <c r="AG11">
        <v>807195.25815372705</v>
      </c>
      <c r="AH11">
        <v>1</v>
      </c>
    </row>
    <row r="12" spans="1:36" x14ac:dyDescent="0.25">
      <c r="A12" t="s">
        <v>26</v>
      </c>
      <c r="B12">
        <v>30</v>
      </c>
      <c r="C12">
        <v>0.5</v>
      </c>
      <c r="D12" t="s">
        <v>36</v>
      </c>
      <c r="E12" t="s">
        <v>37</v>
      </c>
      <c r="F12">
        <v>7</v>
      </c>
      <c r="G12">
        <v>800062.59740821098</v>
      </c>
      <c r="H12">
        <v>51215.538215999797</v>
      </c>
      <c r="I12">
        <v>5569.8780217310104</v>
      </c>
      <c r="J12">
        <v>9.95232179222502E-3</v>
      </c>
      <c r="K12">
        <v>9.95232179222502E-3</v>
      </c>
      <c r="L12">
        <v>6277.2416078900296</v>
      </c>
      <c r="M12">
        <v>-0.14999998683333299</v>
      </c>
      <c r="N12">
        <v>19374.063747999899</v>
      </c>
      <c r="O12">
        <v>0</v>
      </c>
      <c r="P12">
        <v>800062.59741890396</v>
      </c>
      <c r="Q12">
        <v>31884.4850824192</v>
      </c>
      <c r="R12">
        <v>0</v>
      </c>
      <c r="S12">
        <v>748847.049250582</v>
      </c>
      <c r="T12">
        <v>28.784980190741798</v>
      </c>
      <c r="U12">
        <v>0.45332316988388699</v>
      </c>
      <c r="V12" s="1">
        <v>2.8851920852446199E-14</v>
      </c>
      <c r="W12" s="1">
        <v>1.0692712385207401E-5</v>
      </c>
      <c r="X12">
        <v>0</v>
      </c>
      <c r="Y12">
        <v>0</v>
      </c>
      <c r="Z12">
        <v>0</v>
      </c>
      <c r="AA12">
        <v>1522.4399999999901</v>
      </c>
      <c r="AB12">
        <v>0</v>
      </c>
      <c r="AC12">
        <v>0</v>
      </c>
      <c r="AD12">
        <v>0</v>
      </c>
      <c r="AE12">
        <v>800062.58746658196</v>
      </c>
      <c r="AF12">
        <v>52073.625244260198</v>
      </c>
      <c r="AG12">
        <v>800062.58745588898</v>
      </c>
      <c r="AH12">
        <v>0.38</v>
      </c>
    </row>
    <row r="13" spans="1:36" x14ac:dyDescent="0.25">
      <c r="A13" t="s">
        <v>64</v>
      </c>
      <c r="B13">
        <v>30</v>
      </c>
      <c r="C13">
        <v>0.5</v>
      </c>
      <c r="D13" t="s">
        <v>36</v>
      </c>
      <c r="E13" t="s">
        <v>29</v>
      </c>
      <c r="F13">
        <v>7</v>
      </c>
      <c r="G13">
        <v>814114.01151942299</v>
      </c>
      <c r="H13">
        <v>57213.661775999899</v>
      </c>
      <c r="I13">
        <v>5199.1736228310001</v>
      </c>
      <c r="J13">
        <v>9.95232179222502E-3</v>
      </c>
      <c r="K13">
        <v>9.95232179222502E-3</v>
      </c>
      <c r="L13">
        <v>6126.0154139160004</v>
      </c>
      <c r="M13">
        <v>-0.14999997916666599</v>
      </c>
      <c r="N13">
        <v>19374.063747999899</v>
      </c>
      <c r="O13">
        <v>0</v>
      </c>
      <c r="P13">
        <v>814114.01129948499</v>
      </c>
      <c r="Q13">
        <v>32103.963287345199</v>
      </c>
      <c r="R13">
        <v>4.3331173069772797</v>
      </c>
      <c r="S13">
        <v>756900.33957116294</v>
      </c>
      <c r="T13">
        <v>29.0099884346705</v>
      </c>
      <c r="U13">
        <v>2.63722931878916</v>
      </c>
      <c r="V13" s="1">
        <v>2.8851920852446199E-14</v>
      </c>
      <c r="W13">
        <v>-2.1993858623318299E-4</v>
      </c>
      <c r="X13">
        <v>0</v>
      </c>
      <c r="Y13">
        <v>0</v>
      </c>
      <c r="Z13">
        <v>0</v>
      </c>
      <c r="AA13">
        <v>1522.4399999999901</v>
      </c>
      <c r="AB13">
        <v>0</v>
      </c>
      <c r="AC13">
        <v>0</v>
      </c>
      <c r="AD13">
        <v>0</v>
      </c>
      <c r="AE13">
        <v>814114.00134716299</v>
      </c>
      <c r="AF13">
        <v>52073.625244260198</v>
      </c>
      <c r="AG13">
        <v>814114.00156710099</v>
      </c>
      <c r="AH13">
        <v>1</v>
      </c>
    </row>
    <row r="14" spans="1:36" x14ac:dyDescent="0.25">
      <c r="A14" t="s">
        <v>26</v>
      </c>
      <c r="B14">
        <v>30</v>
      </c>
      <c r="C14">
        <v>0.6</v>
      </c>
      <c r="D14" t="s">
        <v>38</v>
      </c>
      <c r="E14" t="s">
        <v>35</v>
      </c>
      <c r="F14">
        <v>7</v>
      </c>
      <c r="G14">
        <v>800598.89945307805</v>
      </c>
      <c r="H14">
        <v>51215.538215999797</v>
      </c>
      <c r="I14">
        <v>5439.21578782504</v>
      </c>
      <c r="J14">
        <v>9.9639769085749803E-3</v>
      </c>
      <c r="K14">
        <v>9.9639769085749993E-3</v>
      </c>
      <c r="L14">
        <v>6278.8006704453401</v>
      </c>
      <c r="M14">
        <v>-0.15000002576027099</v>
      </c>
      <c r="N14">
        <v>19374.063747999899</v>
      </c>
      <c r="O14">
        <v>0</v>
      </c>
      <c r="P14">
        <v>800598.89947486203</v>
      </c>
      <c r="Q14">
        <v>31861.2767460635</v>
      </c>
      <c r="R14">
        <v>0</v>
      </c>
      <c r="S14">
        <v>749383.35129488504</v>
      </c>
      <c r="T14">
        <v>28.7445260240751</v>
      </c>
      <c r="U14">
        <v>0.60522408692567398</v>
      </c>
      <c r="V14" s="1">
        <v>2.8851920852446199E-14</v>
      </c>
      <c r="W14" s="1">
        <v>2.17849877662956E-5</v>
      </c>
      <c r="X14">
        <v>0</v>
      </c>
      <c r="Y14">
        <v>0</v>
      </c>
      <c r="Z14">
        <v>0</v>
      </c>
      <c r="AA14">
        <v>1522.4399999999901</v>
      </c>
      <c r="AB14">
        <v>0</v>
      </c>
      <c r="AC14">
        <v>0</v>
      </c>
      <c r="AD14">
        <v>0</v>
      </c>
      <c r="AE14">
        <v>800598.88951088605</v>
      </c>
      <c r="AF14">
        <v>51918.195611443203</v>
      </c>
      <c r="AG14">
        <v>800598.88948909903</v>
      </c>
      <c r="AH14">
        <v>0.37</v>
      </c>
    </row>
    <row r="15" spans="1:36" x14ac:dyDescent="0.25">
      <c r="A15" t="s">
        <v>64</v>
      </c>
      <c r="B15">
        <v>30</v>
      </c>
      <c r="C15">
        <v>0.6</v>
      </c>
      <c r="D15" t="s">
        <v>38</v>
      </c>
      <c r="E15" t="s">
        <v>29</v>
      </c>
      <c r="F15">
        <v>7</v>
      </c>
      <c r="G15">
        <v>810987.91867751395</v>
      </c>
      <c r="H15">
        <v>57213.661775999899</v>
      </c>
      <c r="I15">
        <v>5117.2818170078699</v>
      </c>
      <c r="J15">
        <v>9.9639769085749803E-3</v>
      </c>
      <c r="K15">
        <v>9.9639769085749803E-3</v>
      </c>
      <c r="L15">
        <v>6039.05893169298</v>
      </c>
      <c r="M15">
        <v>-0.149999981333333</v>
      </c>
      <c r="N15">
        <v>19374.063747999899</v>
      </c>
      <c r="O15">
        <v>0</v>
      </c>
      <c r="P15">
        <v>810987.91858748998</v>
      </c>
      <c r="Q15">
        <v>31943.468978128301</v>
      </c>
      <c r="R15">
        <v>4.3375888529750597</v>
      </c>
      <c r="S15">
        <v>753774.24684751302</v>
      </c>
      <c r="T15">
        <v>28.970747264625899</v>
      </c>
      <c r="U15">
        <v>2.6901139663743798</v>
      </c>
      <c r="V15" s="1">
        <v>2.8851920852446199E-14</v>
      </c>
      <c r="W15" s="1">
        <v>-9.0023735538124997E-5</v>
      </c>
      <c r="X15">
        <v>0</v>
      </c>
      <c r="Y15">
        <v>0</v>
      </c>
      <c r="Z15">
        <v>0</v>
      </c>
      <c r="AA15">
        <v>1522.4399999999901</v>
      </c>
      <c r="AB15">
        <v>0</v>
      </c>
      <c r="AC15">
        <v>0</v>
      </c>
      <c r="AD15">
        <v>0</v>
      </c>
      <c r="AE15">
        <v>810987.908623514</v>
      </c>
      <c r="AF15">
        <v>51918.195611443203</v>
      </c>
      <c r="AG15">
        <v>810987.90871353599</v>
      </c>
      <c r="AH15">
        <v>1</v>
      </c>
    </row>
    <row r="16" spans="1:36" x14ac:dyDescent="0.25">
      <c r="A16" t="s">
        <v>26</v>
      </c>
      <c r="B16">
        <v>30</v>
      </c>
      <c r="C16">
        <v>0.7</v>
      </c>
      <c r="D16" t="s">
        <v>39</v>
      </c>
      <c r="E16" t="s">
        <v>40</v>
      </c>
      <c r="F16">
        <v>7</v>
      </c>
      <c r="G16">
        <v>802775.12079158903</v>
      </c>
      <c r="H16">
        <v>52429.688109999799</v>
      </c>
      <c r="I16">
        <v>5567.3516452311196</v>
      </c>
      <c r="J16">
        <v>9.8187535600000302E-3</v>
      </c>
      <c r="K16">
        <v>9.8187535599999695E-3</v>
      </c>
      <c r="L16">
        <v>6303.3096874985104</v>
      </c>
      <c r="M16">
        <v>-0.15000000529573401</v>
      </c>
      <c r="N16">
        <v>19374.063747999899</v>
      </c>
      <c r="O16">
        <v>0</v>
      </c>
      <c r="P16">
        <v>802775.12080624094</v>
      </c>
      <c r="Q16">
        <v>31869.171220148401</v>
      </c>
      <c r="R16">
        <v>0</v>
      </c>
      <c r="S16">
        <v>750345.42287748703</v>
      </c>
      <c r="T16">
        <v>30.355764878040301</v>
      </c>
      <c r="U16">
        <v>2.4147398507204798</v>
      </c>
      <c r="V16" s="1">
        <v>2.8851920852446199E-14</v>
      </c>
      <c r="W16" s="1">
        <v>1.46526703611016E-5</v>
      </c>
      <c r="X16">
        <v>0</v>
      </c>
      <c r="Y16">
        <v>0</v>
      </c>
      <c r="Z16">
        <v>0</v>
      </c>
      <c r="AA16">
        <v>1522.4399999999901</v>
      </c>
      <c r="AB16">
        <v>0</v>
      </c>
      <c r="AC16">
        <v>0</v>
      </c>
      <c r="AD16">
        <v>0</v>
      </c>
      <c r="AE16">
        <v>802775.11098748702</v>
      </c>
      <c r="AF16">
        <v>52029.716925881003</v>
      </c>
      <c r="AG16">
        <v>802775.11097283603</v>
      </c>
      <c r="AH16">
        <v>0.49</v>
      </c>
    </row>
    <row r="17" spans="1:36" x14ac:dyDescent="0.25">
      <c r="A17" t="s">
        <v>64</v>
      </c>
      <c r="B17">
        <v>30</v>
      </c>
      <c r="C17">
        <v>0.7</v>
      </c>
      <c r="D17" t="s">
        <v>39</v>
      </c>
      <c r="E17" t="s">
        <v>29</v>
      </c>
      <c r="F17">
        <v>7</v>
      </c>
      <c r="G17">
        <v>807595.44557855104</v>
      </c>
      <c r="H17">
        <v>57213.661775999899</v>
      </c>
      <c r="I17">
        <v>5164.6961509211596</v>
      </c>
      <c r="J17">
        <v>9.8187535599999695E-3</v>
      </c>
      <c r="K17">
        <v>9.8187535599999695E-3</v>
      </c>
      <c r="L17">
        <v>5836.0789302847097</v>
      </c>
      <c r="M17">
        <v>-0.112499979958333</v>
      </c>
      <c r="N17">
        <v>19374.063747999899</v>
      </c>
      <c r="O17">
        <v>0</v>
      </c>
      <c r="P17">
        <v>807595.44558406202</v>
      </c>
      <c r="Q17">
        <v>31804.595957244601</v>
      </c>
      <c r="R17">
        <v>1.12712537584932</v>
      </c>
      <c r="S17">
        <v>750381.77398930897</v>
      </c>
      <c r="T17">
        <v>28.5792369741669</v>
      </c>
      <c r="U17">
        <v>2.1899390108870298</v>
      </c>
      <c r="V17" s="1">
        <v>2.8851920852446199E-14</v>
      </c>
      <c r="W17" s="1">
        <v>5.5110035464167599E-6</v>
      </c>
      <c r="X17">
        <v>0</v>
      </c>
      <c r="Y17">
        <v>0</v>
      </c>
      <c r="Z17">
        <v>0</v>
      </c>
      <c r="AA17">
        <v>1522.4399999999901</v>
      </c>
      <c r="AB17">
        <v>0</v>
      </c>
      <c r="AC17">
        <v>0</v>
      </c>
      <c r="AD17">
        <v>0</v>
      </c>
      <c r="AE17">
        <v>807595.43576530798</v>
      </c>
      <c r="AF17">
        <v>52029.716925881003</v>
      </c>
      <c r="AG17">
        <v>807595.43575979699</v>
      </c>
      <c r="AH17">
        <v>1</v>
      </c>
    </row>
    <row r="18" spans="1:36" x14ac:dyDescent="0.25">
      <c r="A18" t="s">
        <v>26</v>
      </c>
      <c r="B18">
        <v>30</v>
      </c>
      <c r="C18">
        <v>0.8</v>
      </c>
      <c r="D18" t="s">
        <v>41</v>
      </c>
      <c r="E18" t="s">
        <v>42</v>
      </c>
      <c r="F18">
        <v>7</v>
      </c>
      <c r="G18">
        <v>804182.06075383699</v>
      </c>
      <c r="H18">
        <v>52685.298613999897</v>
      </c>
      <c r="I18">
        <v>5511.1866642505101</v>
      </c>
      <c r="J18">
        <v>9.9146086081499801E-3</v>
      </c>
      <c r="K18">
        <v>9.9146086081499801E-3</v>
      </c>
      <c r="L18">
        <v>6631.6180625543702</v>
      </c>
      <c r="M18">
        <v>-0.15000004791570601</v>
      </c>
      <c r="N18">
        <v>19374.063747999899</v>
      </c>
      <c r="O18">
        <v>0</v>
      </c>
      <c r="P18">
        <v>804182.06078549498</v>
      </c>
      <c r="Q18">
        <v>31879.575969551301</v>
      </c>
      <c r="R18">
        <v>0</v>
      </c>
      <c r="S18">
        <v>751496.75225688599</v>
      </c>
      <c r="T18">
        <v>30.477323016873999</v>
      </c>
      <c r="U18">
        <v>2.7889850897205402</v>
      </c>
      <c r="V18" s="1">
        <v>2.8851920852446199E-14</v>
      </c>
      <c r="W18" s="1">
        <v>3.16561583895236E-5</v>
      </c>
      <c r="X18">
        <v>0</v>
      </c>
      <c r="Y18">
        <v>0</v>
      </c>
      <c r="Z18">
        <v>0</v>
      </c>
      <c r="AA18">
        <v>1522.4399999999901</v>
      </c>
      <c r="AB18">
        <v>0</v>
      </c>
      <c r="AC18">
        <v>0</v>
      </c>
      <c r="AD18">
        <v>0</v>
      </c>
      <c r="AE18">
        <v>804182.05087088596</v>
      </c>
      <c r="AF18">
        <v>51655.648319247397</v>
      </c>
      <c r="AG18">
        <v>804182.05083922995</v>
      </c>
      <c r="AH18">
        <v>0.55000000000000004</v>
      </c>
    </row>
    <row r="19" spans="1:36" x14ac:dyDescent="0.25">
      <c r="A19" t="s">
        <v>64</v>
      </c>
      <c r="B19">
        <v>30</v>
      </c>
      <c r="C19">
        <v>0.8</v>
      </c>
      <c r="D19" t="s">
        <v>41</v>
      </c>
      <c r="E19" t="s">
        <v>29</v>
      </c>
      <c r="F19">
        <v>7</v>
      </c>
      <c r="G19">
        <v>807664.98463981797</v>
      </c>
      <c r="H19">
        <v>57486.303755999797</v>
      </c>
      <c r="I19">
        <v>5075.3201079363798</v>
      </c>
      <c r="J19">
        <v>9.9146086081499801E-3</v>
      </c>
      <c r="K19">
        <v>9.9146086081499801E-3</v>
      </c>
      <c r="L19">
        <v>6134.87351297228</v>
      </c>
      <c r="M19">
        <v>-0.112499983208333</v>
      </c>
      <c r="N19">
        <v>19374.063747999899</v>
      </c>
      <c r="O19">
        <v>0</v>
      </c>
      <c r="P19">
        <v>807664.98465210304</v>
      </c>
      <c r="Q19">
        <v>31818.6979762833</v>
      </c>
      <c r="R19">
        <v>0.96514260473971003</v>
      </c>
      <c r="S19">
        <v>750178.67098149494</v>
      </c>
      <c r="T19">
        <v>28.442769476861599</v>
      </c>
      <c r="U19">
        <v>2.2610708589636999</v>
      </c>
      <c r="V19" s="1">
        <v>2.8851920852446199E-14</v>
      </c>
      <c r="W19" s="1">
        <v>1.2284561526030301E-5</v>
      </c>
      <c r="X19">
        <v>0</v>
      </c>
      <c r="Y19">
        <v>0</v>
      </c>
      <c r="Z19">
        <v>0</v>
      </c>
      <c r="AA19">
        <v>1522.4399999999901</v>
      </c>
      <c r="AB19">
        <v>0</v>
      </c>
      <c r="AC19">
        <v>0</v>
      </c>
      <c r="AD19">
        <v>0</v>
      </c>
      <c r="AE19">
        <v>807664.97473749495</v>
      </c>
      <c r="AF19">
        <v>51655.648319247397</v>
      </c>
      <c r="AG19">
        <v>807664.97472520999</v>
      </c>
      <c r="AH19">
        <v>1</v>
      </c>
    </row>
    <row r="20" spans="1:36" x14ac:dyDescent="0.25">
      <c r="A20" t="s">
        <v>26</v>
      </c>
      <c r="B20">
        <v>30</v>
      </c>
      <c r="C20">
        <v>0.9</v>
      </c>
      <c r="D20" t="s">
        <v>43</v>
      </c>
      <c r="E20" t="s">
        <v>44</v>
      </c>
      <c r="F20">
        <v>7</v>
      </c>
      <c r="G20">
        <v>805560.35018342501</v>
      </c>
      <c r="H20">
        <v>56395.735836</v>
      </c>
      <c r="I20">
        <v>5600.5353856484799</v>
      </c>
      <c r="J20">
        <v>1.01282941631249E-2</v>
      </c>
      <c r="K20">
        <v>1.0128294163125001E-2</v>
      </c>
      <c r="L20">
        <v>6471.6446877140497</v>
      </c>
      <c r="M20">
        <v>-0.18750004308658699</v>
      </c>
      <c r="N20">
        <v>19374.063747999899</v>
      </c>
      <c r="O20">
        <v>0</v>
      </c>
      <c r="P20">
        <v>805560.35022721905</v>
      </c>
      <c r="Q20">
        <v>31872.408860789201</v>
      </c>
      <c r="R20">
        <v>0</v>
      </c>
      <c r="S20">
        <v>749164.60426292603</v>
      </c>
      <c r="T20">
        <v>28.823049591597101</v>
      </c>
      <c r="U20">
        <v>0.70274973665514195</v>
      </c>
      <c r="V20" s="1">
        <v>2.8851920852446199E-14</v>
      </c>
      <c r="W20" s="1">
        <v>4.3795808451250101E-5</v>
      </c>
      <c r="X20">
        <v>0</v>
      </c>
      <c r="Y20">
        <v>0</v>
      </c>
      <c r="Z20">
        <v>0</v>
      </c>
      <c r="AA20">
        <v>1522.4399999999901</v>
      </c>
      <c r="AB20">
        <v>0</v>
      </c>
      <c r="AC20">
        <v>0</v>
      </c>
      <c r="AD20">
        <v>0</v>
      </c>
      <c r="AE20">
        <v>805560.34009892598</v>
      </c>
      <c r="AF20">
        <v>51897.803306723697</v>
      </c>
      <c r="AG20">
        <v>805560.34005512903</v>
      </c>
      <c r="AH20">
        <v>0.65</v>
      </c>
    </row>
    <row r="21" spans="1:36" x14ac:dyDescent="0.25">
      <c r="A21" t="s">
        <v>64</v>
      </c>
      <c r="B21">
        <v>30</v>
      </c>
      <c r="C21">
        <v>0.9</v>
      </c>
      <c r="D21" t="s">
        <v>43</v>
      </c>
      <c r="E21" t="s">
        <v>29</v>
      </c>
      <c r="F21">
        <v>7</v>
      </c>
      <c r="G21">
        <v>813620.19015575701</v>
      </c>
      <c r="H21">
        <v>57213.661775999899</v>
      </c>
      <c r="I21">
        <v>5329.3553687610201</v>
      </c>
      <c r="J21">
        <v>1.01282941631249E-2</v>
      </c>
      <c r="K21">
        <v>1.01282941631249E-2</v>
      </c>
      <c r="L21">
        <v>6422.7963144524902</v>
      </c>
      <c r="M21">
        <v>-0.187499982208333</v>
      </c>
      <c r="N21">
        <v>19374.063747999899</v>
      </c>
      <c r="O21">
        <v>0</v>
      </c>
      <c r="P21">
        <v>813620.18997026596</v>
      </c>
      <c r="Q21">
        <v>32094.7405044152</v>
      </c>
      <c r="R21">
        <v>3.8749640765165401</v>
      </c>
      <c r="S21">
        <v>756406.51806597202</v>
      </c>
      <c r="T21">
        <v>29.202831761940999</v>
      </c>
      <c r="U21">
        <v>0.94895282034968997</v>
      </c>
      <c r="V21" s="1">
        <v>2.8851920852446199E-14</v>
      </c>
      <c r="W21">
        <v>-1.85489653376862E-4</v>
      </c>
      <c r="X21">
        <v>0</v>
      </c>
      <c r="Y21">
        <v>0</v>
      </c>
      <c r="Z21">
        <v>0</v>
      </c>
      <c r="AA21">
        <v>1522.4399999999901</v>
      </c>
      <c r="AB21">
        <v>0</v>
      </c>
      <c r="AC21">
        <v>0</v>
      </c>
      <c r="AD21">
        <v>0</v>
      </c>
      <c r="AE21">
        <v>813620.17984197196</v>
      </c>
      <c r="AF21">
        <v>51897.803306723697</v>
      </c>
      <c r="AG21">
        <v>813620.18002746103</v>
      </c>
      <c r="AH21">
        <v>1</v>
      </c>
    </row>
    <row r="22" spans="1:36" x14ac:dyDescent="0.25">
      <c r="A22" t="s">
        <v>26</v>
      </c>
      <c r="B22">
        <v>30</v>
      </c>
      <c r="C22">
        <v>0.99</v>
      </c>
      <c r="D22" t="s">
        <v>45</v>
      </c>
      <c r="E22" t="s">
        <v>46</v>
      </c>
      <c r="F22">
        <v>7</v>
      </c>
      <c r="G22">
        <v>805351.04406179895</v>
      </c>
      <c r="H22">
        <v>56668.377816</v>
      </c>
      <c r="I22">
        <v>5974.2964631805798</v>
      </c>
      <c r="J22">
        <v>8.5372950844499994E-3</v>
      </c>
      <c r="K22">
        <v>8.5372950844499994E-3</v>
      </c>
      <c r="L22">
        <v>6456.3168051327302</v>
      </c>
      <c r="M22">
        <v>94.963439583338598</v>
      </c>
      <c r="N22">
        <v>19374.063747999899</v>
      </c>
      <c r="O22">
        <v>6240.7091142769405</v>
      </c>
      <c r="P22">
        <v>811591.75319991005</v>
      </c>
      <c r="Q22">
        <v>31939.635548106799</v>
      </c>
      <c r="R22">
        <v>0</v>
      </c>
      <c r="S22">
        <v>748682.65773233795</v>
      </c>
      <c r="T22">
        <v>28.904311062435099</v>
      </c>
      <c r="U22">
        <v>0.54215384814402501</v>
      </c>
      <c r="V22" s="1">
        <v>2.8851920852446199E-14</v>
      </c>
      <c r="W22" s="1">
        <v>2.38335691392421E-5</v>
      </c>
      <c r="X22">
        <v>0.01</v>
      </c>
      <c r="Y22">
        <v>0</v>
      </c>
      <c r="Z22">
        <v>0</v>
      </c>
      <c r="AA22">
        <v>1522.4399999999901</v>
      </c>
      <c r="AB22">
        <v>0</v>
      </c>
      <c r="AC22">
        <v>0</v>
      </c>
      <c r="AD22">
        <v>0.624070911427694</v>
      </c>
      <c r="AE22">
        <v>805351.03554833797</v>
      </c>
      <c r="AF22">
        <v>52354.743025065902</v>
      </c>
      <c r="AG22">
        <v>805351.03552450298</v>
      </c>
      <c r="AH22">
        <v>0.97</v>
      </c>
    </row>
    <row r="23" spans="1:36" x14ac:dyDescent="0.25">
      <c r="A23" t="s">
        <v>64</v>
      </c>
      <c r="B23">
        <v>30</v>
      </c>
      <c r="C23">
        <v>0.99</v>
      </c>
      <c r="D23" t="s">
        <v>45</v>
      </c>
      <c r="E23" t="s">
        <v>29</v>
      </c>
      <c r="F23">
        <v>7</v>
      </c>
      <c r="G23">
        <v>805431.853195642</v>
      </c>
      <c r="H23">
        <v>56663.6212719998</v>
      </c>
      <c r="I23">
        <v>5934.8157107327797</v>
      </c>
      <c r="J23">
        <v>8.5372950844499994E-3</v>
      </c>
      <c r="K23">
        <v>8.5372950844499994E-3</v>
      </c>
      <c r="L23">
        <v>6416.2119817735002</v>
      </c>
      <c r="M23">
        <v>-0.14999999769344199</v>
      </c>
      <c r="N23">
        <v>19374.063747999899</v>
      </c>
      <c r="O23">
        <v>0</v>
      </c>
      <c r="P23">
        <v>805431.85321151605</v>
      </c>
      <c r="Q23">
        <v>31939.6355481067</v>
      </c>
      <c r="R23">
        <v>0</v>
      </c>
      <c r="S23">
        <v>748768.22340222099</v>
      </c>
      <c r="T23">
        <v>28.9174606556684</v>
      </c>
      <c r="U23">
        <v>0.548919872975284</v>
      </c>
      <c r="V23" s="1">
        <v>2.8851920852446199E-14</v>
      </c>
      <c r="W23" s="1">
        <v>1.5875028911977999E-5</v>
      </c>
      <c r="X23">
        <v>0</v>
      </c>
      <c r="Y23">
        <v>0</v>
      </c>
      <c r="Z23">
        <v>0</v>
      </c>
      <c r="AA23">
        <v>1522.4399999999901</v>
      </c>
      <c r="AB23">
        <v>0</v>
      </c>
      <c r="AC23">
        <v>0</v>
      </c>
      <c r="AD23">
        <v>0</v>
      </c>
      <c r="AE23">
        <v>805431.84467422101</v>
      </c>
      <c r="AF23">
        <v>52354.743025065902</v>
      </c>
      <c r="AG23">
        <v>805431.84465834498</v>
      </c>
      <c r="AH23">
        <v>1</v>
      </c>
    </row>
    <row r="24" spans="1:36" x14ac:dyDescent="0.25">
      <c r="A24" t="s">
        <v>47</v>
      </c>
      <c r="B24" s="1">
        <v>9.9999999999999995E-7</v>
      </c>
      <c r="C24">
        <v>0</v>
      </c>
      <c r="D24" t="s">
        <v>48</v>
      </c>
      <c r="E24" t="s">
        <v>29</v>
      </c>
      <c r="F24">
        <v>7</v>
      </c>
      <c r="G24">
        <v>800627.09231313504</v>
      </c>
      <c r="H24">
        <v>51215.538215999797</v>
      </c>
      <c r="I24">
        <v>5424.9019198053202</v>
      </c>
      <c r="J24">
        <v>9.9048019109000095E-3</v>
      </c>
      <c r="K24">
        <v>9.9048019109000095E-3</v>
      </c>
      <c r="L24">
        <v>6317.0501393942504</v>
      </c>
      <c r="M24">
        <v>-0.187499985958333</v>
      </c>
      <c r="N24">
        <v>19374.063747999899</v>
      </c>
      <c r="O24">
        <v>0</v>
      </c>
      <c r="P24">
        <v>800627.09233938903</v>
      </c>
      <c r="Q24">
        <v>31857.026056311501</v>
      </c>
      <c r="S24">
        <v>749411.54421858699</v>
      </c>
      <c r="T24">
        <v>28.8833484243765</v>
      </c>
      <c r="V24" s="1">
        <v>-3.17079695832944E-13</v>
      </c>
      <c r="W24" s="1">
        <v>2.6253380347043199E-5</v>
      </c>
      <c r="X24">
        <v>0</v>
      </c>
      <c r="Y24">
        <v>0</v>
      </c>
      <c r="Z24">
        <v>0</v>
      </c>
      <c r="AA24">
        <v>1522.4399999999901</v>
      </c>
      <c r="AB24">
        <v>0</v>
      </c>
      <c r="AC24">
        <v>0</v>
      </c>
      <c r="AD24">
        <v>0</v>
      </c>
      <c r="AE24">
        <v>800627.08243458695</v>
      </c>
      <c r="AF24">
        <v>51861.381584722403</v>
      </c>
      <c r="AG24">
        <v>800627.08240833401</v>
      </c>
      <c r="AH24">
        <v>1</v>
      </c>
      <c r="AI24">
        <v>0.61222458761338305</v>
      </c>
      <c r="AJ24" s="1">
        <v>9.9999999999999805E-7</v>
      </c>
    </row>
    <row r="25" spans="1:36" x14ac:dyDescent="0.25">
      <c r="A25" t="s">
        <v>47</v>
      </c>
      <c r="B25" s="1">
        <v>9.9999999999999995E-7</v>
      </c>
      <c r="C25">
        <v>0.1</v>
      </c>
      <c r="D25" t="s">
        <v>49</v>
      </c>
      <c r="E25" t="s">
        <v>29</v>
      </c>
      <c r="F25">
        <v>7</v>
      </c>
      <c r="G25">
        <v>800079.361905128</v>
      </c>
      <c r="H25">
        <v>50938.139691999997</v>
      </c>
      <c r="I25">
        <v>5478.6098315057998</v>
      </c>
      <c r="J25">
        <v>9.6977837672499699E-3</v>
      </c>
      <c r="K25">
        <v>9.6977837672500202E-3</v>
      </c>
      <c r="L25">
        <v>6346.2680689277504</v>
      </c>
      <c r="M25">
        <v>-0.18749998270833301</v>
      </c>
      <c r="N25">
        <v>19374.063747999899</v>
      </c>
      <c r="O25">
        <v>0</v>
      </c>
      <c r="P25">
        <v>800079.36192223802</v>
      </c>
      <c r="Q25">
        <v>31883.1122231054</v>
      </c>
      <c r="S25">
        <v>749141.21253245499</v>
      </c>
      <c r="T25">
        <v>29.336589259773</v>
      </c>
      <c r="V25" s="1">
        <v>-3.17079695832944E-13</v>
      </c>
      <c r="W25" s="1">
        <v>1.7108697211369801E-5</v>
      </c>
      <c r="X25">
        <v>0</v>
      </c>
      <c r="Y25">
        <v>0</v>
      </c>
      <c r="Z25">
        <v>0</v>
      </c>
      <c r="AA25">
        <v>1522.4399999999901</v>
      </c>
      <c r="AB25">
        <v>0</v>
      </c>
      <c r="AC25">
        <v>0</v>
      </c>
      <c r="AD25">
        <v>0</v>
      </c>
      <c r="AE25">
        <v>800079.35222445498</v>
      </c>
      <c r="AF25">
        <v>51911.957733683397</v>
      </c>
      <c r="AG25">
        <v>800079.35220734705</v>
      </c>
      <c r="AH25">
        <v>1</v>
      </c>
      <c r="AI25">
        <v>0.80710716375206004</v>
      </c>
      <c r="AJ25" s="1">
        <v>9.9999999999999805E-7</v>
      </c>
    </row>
    <row r="26" spans="1:36" x14ac:dyDescent="0.25">
      <c r="A26" t="s">
        <v>47</v>
      </c>
      <c r="B26" s="1">
        <v>9.9999999999999995E-7</v>
      </c>
      <c r="C26">
        <v>0.2</v>
      </c>
      <c r="D26" t="s">
        <v>50</v>
      </c>
      <c r="E26" t="s">
        <v>29</v>
      </c>
      <c r="F26">
        <v>7</v>
      </c>
      <c r="G26">
        <v>800452.99422262004</v>
      </c>
      <c r="H26">
        <v>51215.538215999797</v>
      </c>
      <c r="I26">
        <v>5398.31300341112</v>
      </c>
      <c r="J26">
        <v>1.0291565842974901E-2</v>
      </c>
      <c r="K26">
        <v>1.0291565842974901E-2</v>
      </c>
      <c r="L26">
        <v>6243.3652074683896</v>
      </c>
      <c r="M26">
        <v>-0.149999990130538</v>
      </c>
      <c r="N26">
        <v>19374.063747999899</v>
      </c>
      <c r="O26">
        <v>0</v>
      </c>
      <c r="P26">
        <v>800452.99423312396</v>
      </c>
      <c r="Q26">
        <v>31862.389346486401</v>
      </c>
      <c r="S26">
        <v>749237.44572555902</v>
      </c>
      <c r="T26">
        <v>28.7445260240751</v>
      </c>
      <c r="V26" s="1">
        <v>-3.17079695832944E-13</v>
      </c>
      <c r="W26" s="1">
        <v>1.05045887175947E-5</v>
      </c>
      <c r="X26">
        <v>0</v>
      </c>
      <c r="Y26" s="1">
        <v>-8.6970430857036196E-13</v>
      </c>
      <c r="Z26">
        <v>0</v>
      </c>
      <c r="AA26">
        <v>1522.4399999999901</v>
      </c>
      <c r="AB26">
        <v>0</v>
      </c>
      <c r="AC26" s="1">
        <v>-2.8990143619012E-14</v>
      </c>
      <c r="AD26">
        <v>0</v>
      </c>
      <c r="AE26">
        <v>800452.98394155898</v>
      </c>
      <c r="AF26">
        <v>51913.840890429201</v>
      </c>
      <c r="AG26">
        <v>800452.98393105401</v>
      </c>
      <c r="AH26">
        <v>1</v>
      </c>
      <c r="AI26">
        <v>0.54120045691454699</v>
      </c>
      <c r="AJ26" s="1">
        <v>9.9999999999999805E-7</v>
      </c>
    </row>
    <row r="27" spans="1:36" x14ac:dyDescent="0.25">
      <c r="A27" t="s">
        <v>47</v>
      </c>
      <c r="B27" s="1">
        <v>9.9999999999999995E-7</v>
      </c>
      <c r="C27">
        <v>0.3</v>
      </c>
      <c r="D27" t="s">
        <v>51</v>
      </c>
      <c r="E27" t="s">
        <v>29</v>
      </c>
      <c r="F27">
        <v>7</v>
      </c>
      <c r="G27">
        <v>800411.44830748404</v>
      </c>
      <c r="H27">
        <v>51215.538215999797</v>
      </c>
      <c r="I27">
        <v>5387.17402777998</v>
      </c>
      <c r="J27">
        <v>9.9448435359500102E-3</v>
      </c>
      <c r="K27">
        <v>9.9448435359500206E-3</v>
      </c>
      <c r="L27">
        <v>6259.9570613716896</v>
      </c>
      <c r="M27">
        <v>-0.149999984916666</v>
      </c>
      <c r="N27">
        <v>19374.063747999899</v>
      </c>
      <c r="O27">
        <v>0</v>
      </c>
      <c r="P27">
        <v>800411.44831681205</v>
      </c>
      <c r="Q27">
        <v>31863.943819861201</v>
      </c>
      <c r="S27">
        <v>749195.90015596803</v>
      </c>
      <c r="T27">
        <v>28.7445260240751</v>
      </c>
      <c r="V27" s="1">
        <v>-3.17079695832944E-13</v>
      </c>
      <c r="W27" s="1">
        <v>9.3274796381592702E-6</v>
      </c>
      <c r="X27">
        <v>0</v>
      </c>
      <c r="Y27">
        <v>0</v>
      </c>
      <c r="Z27">
        <v>0</v>
      </c>
      <c r="AA27">
        <v>1522.4399999999901</v>
      </c>
      <c r="AB27">
        <v>0</v>
      </c>
      <c r="AC27">
        <v>0</v>
      </c>
      <c r="AD27">
        <v>0</v>
      </c>
      <c r="AE27">
        <v>800411.43837196904</v>
      </c>
      <c r="AF27">
        <v>51887.664534269403</v>
      </c>
      <c r="AG27">
        <v>800411.43836264196</v>
      </c>
      <c r="AH27">
        <v>1</v>
      </c>
      <c r="AI27">
        <v>0.58862257727854195</v>
      </c>
      <c r="AJ27" s="1">
        <v>9.9999999999999805E-7</v>
      </c>
    </row>
    <row r="28" spans="1:36" x14ac:dyDescent="0.25">
      <c r="A28" t="s">
        <v>47</v>
      </c>
      <c r="B28" s="1">
        <v>9.9999999999999995E-7</v>
      </c>
      <c r="C28">
        <v>0.4</v>
      </c>
      <c r="D28" t="s">
        <v>52</v>
      </c>
      <c r="E28" t="s">
        <v>29</v>
      </c>
      <c r="F28">
        <v>7</v>
      </c>
      <c r="G28">
        <v>800162.67143818096</v>
      </c>
      <c r="H28">
        <v>51215.538215999797</v>
      </c>
      <c r="I28">
        <v>5389.9690932353196</v>
      </c>
      <c r="J28">
        <v>9.8976117661999808E-3</v>
      </c>
      <c r="K28">
        <v>9.8976117661999808E-3</v>
      </c>
      <c r="L28">
        <v>6288.9044556171903</v>
      </c>
      <c r="M28">
        <v>-0.149999990095495</v>
      </c>
      <c r="N28">
        <v>19374.063747999899</v>
      </c>
      <c r="O28">
        <v>0</v>
      </c>
      <c r="P28">
        <v>800162.67143825302</v>
      </c>
      <c r="Q28">
        <v>31877.082289948401</v>
      </c>
      <c r="S28">
        <v>748947.12332464103</v>
      </c>
      <c r="T28">
        <v>28.7445260240751</v>
      </c>
      <c r="V28" s="1">
        <v>-3.17079695832944E-13</v>
      </c>
      <c r="W28" s="1">
        <v>7.2435941547155304E-8</v>
      </c>
      <c r="X28">
        <v>0</v>
      </c>
      <c r="Y28">
        <v>0</v>
      </c>
      <c r="Z28">
        <v>0</v>
      </c>
      <c r="AA28">
        <v>1522.4399999999901</v>
      </c>
      <c r="AB28">
        <v>0</v>
      </c>
      <c r="AC28">
        <v>0</v>
      </c>
      <c r="AD28">
        <v>0</v>
      </c>
      <c r="AE28">
        <v>800162.66154064098</v>
      </c>
      <c r="AF28">
        <v>51874.650675566401</v>
      </c>
      <c r="AG28">
        <v>800162.66154056799</v>
      </c>
      <c r="AH28">
        <v>1</v>
      </c>
      <c r="AI28">
        <v>0.54120045691454699</v>
      </c>
      <c r="AJ28" s="1">
        <v>9.9999999999999805E-7</v>
      </c>
    </row>
    <row r="29" spans="1:36" x14ac:dyDescent="0.25">
      <c r="A29" t="s">
        <v>47</v>
      </c>
      <c r="B29" s="1">
        <v>9.9999999999999995E-7</v>
      </c>
      <c r="C29">
        <v>0.5</v>
      </c>
      <c r="D29" t="s">
        <v>53</v>
      </c>
      <c r="E29" t="s">
        <v>29</v>
      </c>
      <c r="F29">
        <v>7</v>
      </c>
      <c r="G29">
        <v>800062.59740821098</v>
      </c>
      <c r="H29">
        <v>51215.538215999797</v>
      </c>
      <c r="I29">
        <v>5526.1091845398296</v>
      </c>
      <c r="J29">
        <v>9.95232179222502E-3</v>
      </c>
      <c r="K29">
        <v>9.95232179222502E-3</v>
      </c>
      <c r="L29">
        <v>6233.4727706988497</v>
      </c>
      <c r="M29">
        <v>12.3500000175416</v>
      </c>
      <c r="N29">
        <v>19374.063747999899</v>
      </c>
      <c r="O29">
        <v>0</v>
      </c>
      <c r="P29">
        <v>800062.59741014999</v>
      </c>
      <c r="Q29">
        <v>31884.4850824192</v>
      </c>
      <c r="S29">
        <v>748847.04924182803</v>
      </c>
      <c r="T29">
        <v>28.784980190741798</v>
      </c>
      <c r="V29" s="1">
        <v>-3.17079695832944E-13</v>
      </c>
      <c r="W29" s="1">
        <v>1.9385886844247502E-6</v>
      </c>
      <c r="X29">
        <v>0</v>
      </c>
      <c r="Y29">
        <v>0</v>
      </c>
      <c r="Z29">
        <v>0</v>
      </c>
      <c r="AA29">
        <v>1522.4399999999901</v>
      </c>
      <c r="AB29">
        <v>0</v>
      </c>
      <c r="AC29">
        <v>0</v>
      </c>
      <c r="AD29">
        <v>0</v>
      </c>
      <c r="AE29">
        <v>800062.58745782904</v>
      </c>
      <c r="AF29">
        <v>52073.625244260198</v>
      </c>
      <c r="AG29">
        <v>800062.58745588898</v>
      </c>
      <c r="AH29">
        <v>1</v>
      </c>
      <c r="AI29">
        <v>0.45332416988388702</v>
      </c>
      <c r="AJ29" s="1">
        <v>9.9999999999999805E-7</v>
      </c>
    </row>
    <row r="30" spans="1:36" x14ac:dyDescent="0.25">
      <c r="A30" t="s">
        <v>47</v>
      </c>
      <c r="B30" s="1">
        <v>9.9999999999999995E-7</v>
      </c>
      <c r="C30">
        <v>0.6</v>
      </c>
      <c r="D30" t="s">
        <v>54</v>
      </c>
      <c r="E30" t="s">
        <v>29</v>
      </c>
      <c r="F30">
        <v>7</v>
      </c>
      <c r="G30">
        <v>802691.46862244594</v>
      </c>
      <c r="H30">
        <v>52429.688109999799</v>
      </c>
      <c r="I30">
        <v>5476.2186323002798</v>
      </c>
      <c r="J30">
        <v>9.9639769085749803E-3</v>
      </c>
      <c r="K30">
        <v>9.9639769085749803E-3</v>
      </c>
      <c r="L30">
        <v>6330.4216953660898</v>
      </c>
      <c r="M30">
        <v>-0.1500000031906</v>
      </c>
      <c r="N30">
        <v>19374.063747999899</v>
      </c>
      <c r="O30">
        <v>0</v>
      </c>
      <c r="P30">
        <v>802691.46862706495</v>
      </c>
      <c r="Q30">
        <v>31875.894926509001</v>
      </c>
      <c r="S30">
        <v>750261.77055308805</v>
      </c>
      <c r="T30">
        <v>30.355764878040301</v>
      </c>
      <c r="V30" s="1">
        <v>-3.17079695832944E-13</v>
      </c>
      <c r="W30" s="1">
        <v>4.6182458754628897E-6</v>
      </c>
      <c r="X30">
        <v>0</v>
      </c>
      <c r="Y30">
        <v>0</v>
      </c>
      <c r="Z30">
        <v>0</v>
      </c>
      <c r="AA30">
        <v>1522.4399999999901</v>
      </c>
      <c r="AB30">
        <v>0</v>
      </c>
      <c r="AC30">
        <v>0</v>
      </c>
      <c r="AD30">
        <v>0</v>
      </c>
      <c r="AE30">
        <v>802691.45866308804</v>
      </c>
      <c r="AF30">
        <v>51918.195611443203</v>
      </c>
      <c r="AG30">
        <v>802691.45865847101</v>
      </c>
      <c r="AH30">
        <v>1</v>
      </c>
      <c r="AI30">
        <v>0.81875399520834002</v>
      </c>
      <c r="AJ30" s="1">
        <v>9.9999999999999805E-7</v>
      </c>
    </row>
    <row r="31" spans="1:36" x14ac:dyDescent="0.25">
      <c r="A31" t="s">
        <v>47</v>
      </c>
      <c r="B31" s="1">
        <v>9.9999999999999995E-7</v>
      </c>
      <c r="C31">
        <v>0.7</v>
      </c>
      <c r="D31" t="s">
        <v>55</v>
      </c>
      <c r="E31" t="s">
        <v>29</v>
      </c>
      <c r="F31">
        <v>7</v>
      </c>
      <c r="G31">
        <v>803581.05294218101</v>
      </c>
      <c r="H31">
        <v>52557.493361999899</v>
      </c>
      <c r="I31">
        <v>5494.5091568863199</v>
      </c>
      <c r="J31">
        <v>9.8187535599999695E-3</v>
      </c>
      <c r="K31">
        <v>9.8187535599999695E-3</v>
      </c>
      <c r="L31">
        <v>6230.4671991537098</v>
      </c>
      <c r="M31">
        <v>-0.14999999842607301</v>
      </c>
      <c r="N31">
        <v>19374.063747999899</v>
      </c>
      <c r="O31">
        <v>0</v>
      </c>
      <c r="P31">
        <v>803581.05294226599</v>
      </c>
      <c r="Q31">
        <v>31869.171220148401</v>
      </c>
      <c r="S31">
        <v>751023.54976151197</v>
      </c>
      <c r="T31">
        <v>30.355764878040301</v>
      </c>
      <c r="V31" s="1">
        <v>-3.17079695832944E-13</v>
      </c>
      <c r="W31" s="1">
        <v>8.4369676187634404E-8</v>
      </c>
      <c r="X31">
        <v>0</v>
      </c>
      <c r="Y31">
        <v>0</v>
      </c>
      <c r="Z31">
        <v>0</v>
      </c>
      <c r="AA31">
        <v>1522.4399999999901</v>
      </c>
      <c r="AB31">
        <v>0</v>
      </c>
      <c r="AC31">
        <v>0</v>
      </c>
      <c r="AD31">
        <v>0</v>
      </c>
      <c r="AE31">
        <v>803581.04312351195</v>
      </c>
      <c r="AF31">
        <v>52029.716925881003</v>
      </c>
      <c r="AG31">
        <v>803581.04312342801</v>
      </c>
      <c r="AH31">
        <v>1</v>
      </c>
      <c r="AI31">
        <v>0.84957360592520204</v>
      </c>
      <c r="AJ31" s="1">
        <v>9.9999999999999805E-7</v>
      </c>
    </row>
    <row r="32" spans="1:36" x14ac:dyDescent="0.25">
      <c r="A32" t="s">
        <v>47</v>
      </c>
      <c r="B32" s="1">
        <v>9.9999999999999995E-7</v>
      </c>
      <c r="C32">
        <v>0.8</v>
      </c>
      <c r="D32" t="s">
        <v>56</v>
      </c>
      <c r="E32" t="s">
        <v>29</v>
      </c>
      <c r="F32">
        <v>7</v>
      </c>
      <c r="G32">
        <v>805872.173782764</v>
      </c>
      <c r="H32">
        <v>56390.979291999902</v>
      </c>
      <c r="I32">
        <v>5243.6607367417801</v>
      </c>
      <c r="J32">
        <v>9.9146086081499801E-3</v>
      </c>
      <c r="K32">
        <v>9.9146086081499801E-3</v>
      </c>
      <c r="L32">
        <v>6349.4739546001201</v>
      </c>
      <c r="M32">
        <v>-0.14999999403598399</v>
      </c>
      <c r="N32">
        <v>19374.063747999899</v>
      </c>
      <c r="O32">
        <v>0</v>
      </c>
      <c r="P32">
        <v>805872.17378548195</v>
      </c>
      <c r="Q32">
        <v>31864.9577891058</v>
      </c>
      <c r="S32">
        <v>749481.18457887298</v>
      </c>
      <c r="T32">
        <v>28.8366110624351</v>
      </c>
      <c r="V32" s="1">
        <v>-3.17079695832944E-13</v>
      </c>
      <c r="W32" s="1">
        <v>2.71883676759898E-6</v>
      </c>
      <c r="X32">
        <v>0</v>
      </c>
      <c r="Y32">
        <v>0</v>
      </c>
      <c r="Z32">
        <v>0</v>
      </c>
      <c r="AA32">
        <v>1522.4399999999901</v>
      </c>
      <c r="AB32">
        <v>0</v>
      </c>
      <c r="AC32">
        <v>0</v>
      </c>
      <c r="AD32">
        <v>0</v>
      </c>
      <c r="AE32">
        <v>805872.16387087305</v>
      </c>
      <c r="AF32">
        <v>51655.648319247397</v>
      </c>
      <c r="AG32">
        <v>805872.16386815405</v>
      </c>
      <c r="AH32">
        <v>1</v>
      </c>
      <c r="AI32">
        <v>0.64735336799795096</v>
      </c>
      <c r="AJ32" s="1">
        <v>9.9999999999999805E-7</v>
      </c>
    </row>
    <row r="33" spans="1:36" x14ac:dyDescent="0.25">
      <c r="A33" t="s">
        <v>47</v>
      </c>
      <c r="B33" s="1">
        <v>9.9999999999999995E-7</v>
      </c>
      <c r="C33">
        <v>0.9</v>
      </c>
      <c r="D33" t="s">
        <v>57</v>
      </c>
      <c r="E33" t="s">
        <v>29</v>
      </c>
      <c r="F33">
        <v>7</v>
      </c>
      <c r="G33">
        <v>805930.41274075001</v>
      </c>
      <c r="H33">
        <v>56668.377816</v>
      </c>
      <c r="I33">
        <v>5474.8469141086398</v>
      </c>
      <c r="J33">
        <v>1.01282941631249E-2</v>
      </c>
      <c r="K33">
        <v>1.01282941631249E-2</v>
      </c>
      <c r="L33">
        <v>6345.9562161742097</v>
      </c>
      <c r="M33">
        <v>-0.18749999876093501</v>
      </c>
      <c r="N33">
        <v>19374.063747999899</v>
      </c>
      <c r="O33">
        <v>0</v>
      </c>
      <c r="P33">
        <v>805930.41275940603</v>
      </c>
      <c r="Q33">
        <v>31872.408860789201</v>
      </c>
      <c r="S33">
        <v>749262.024815112</v>
      </c>
      <c r="T33">
        <v>28.823402729101801</v>
      </c>
      <c r="V33" s="1">
        <v>-3.17079695832944E-13</v>
      </c>
      <c r="W33" s="1">
        <v>1.86583551112562E-5</v>
      </c>
      <c r="X33">
        <v>0</v>
      </c>
      <c r="Y33">
        <v>0</v>
      </c>
      <c r="Z33">
        <v>0</v>
      </c>
      <c r="AA33">
        <v>1522.4399999999901</v>
      </c>
      <c r="AB33">
        <v>0</v>
      </c>
      <c r="AC33">
        <v>0</v>
      </c>
      <c r="AD33">
        <v>0</v>
      </c>
      <c r="AE33">
        <v>805930.40263111203</v>
      </c>
      <c r="AF33">
        <v>51897.803306723697</v>
      </c>
      <c r="AG33">
        <v>805930.40261245298</v>
      </c>
      <c r="AH33">
        <v>1</v>
      </c>
      <c r="AI33">
        <v>0.59015755168059802</v>
      </c>
      <c r="AJ33" s="1">
        <v>9.9999999999999805E-7</v>
      </c>
    </row>
    <row r="34" spans="1:36" x14ac:dyDescent="0.25">
      <c r="A34" t="s">
        <v>47</v>
      </c>
      <c r="B34" s="1">
        <v>9.9999999999999995E-7</v>
      </c>
      <c r="C34">
        <v>0.99</v>
      </c>
      <c r="D34" t="s">
        <v>58</v>
      </c>
      <c r="E34" t="s">
        <v>29</v>
      </c>
      <c r="F34">
        <v>7</v>
      </c>
      <c r="G34">
        <v>805380.28119383706</v>
      </c>
      <c r="H34">
        <v>56668.377816</v>
      </c>
      <c r="I34">
        <v>5965.9707873563002</v>
      </c>
      <c r="J34">
        <v>8.5372950844499994E-3</v>
      </c>
      <c r="K34">
        <v>8.5372950844499994E-3</v>
      </c>
      <c r="L34">
        <v>6447.8256482958404</v>
      </c>
      <c r="M34">
        <v>-0.14999999668188199</v>
      </c>
      <c r="N34">
        <v>19374.063747999899</v>
      </c>
      <c r="O34">
        <v>0</v>
      </c>
      <c r="P34">
        <v>805380.281215152</v>
      </c>
      <c r="Q34">
        <v>31940.094138005599</v>
      </c>
      <c r="S34">
        <v>748711.89486185799</v>
      </c>
      <c r="T34">
        <v>29.731241883368401</v>
      </c>
      <c r="V34" s="1">
        <v>-3.17079695832944E-13</v>
      </c>
      <c r="W34" s="1">
        <v>2.13153415825217E-5</v>
      </c>
      <c r="X34">
        <v>0</v>
      </c>
      <c r="Y34">
        <v>0</v>
      </c>
      <c r="Z34">
        <v>0</v>
      </c>
      <c r="AA34">
        <v>1522.4399999999901</v>
      </c>
      <c r="AB34">
        <v>0</v>
      </c>
      <c r="AC34">
        <v>0</v>
      </c>
      <c r="AD34">
        <v>0</v>
      </c>
      <c r="AE34">
        <v>805380.27267785801</v>
      </c>
      <c r="AF34">
        <v>52354.743025065902</v>
      </c>
      <c r="AG34">
        <v>805380.27265654295</v>
      </c>
      <c r="AH34">
        <v>1</v>
      </c>
      <c r="AI34">
        <v>0.48631344418938</v>
      </c>
      <c r="AJ34" s="1">
        <v>9.9999999999999805E-7</v>
      </c>
    </row>
    <row r="35" spans="1:36" x14ac:dyDescent="0.25">
      <c r="A35" t="s">
        <v>63</v>
      </c>
      <c r="B35">
        <v>1000</v>
      </c>
      <c r="C35">
        <v>0</v>
      </c>
      <c r="D35" t="s">
        <v>94</v>
      </c>
      <c r="H35">
        <v>51215.538215999797</v>
      </c>
      <c r="I35">
        <v>5511.0325041864799</v>
      </c>
      <c r="L35">
        <v>6264.92400426111</v>
      </c>
      <c r="M35">
        <v>0.28604946985179702</v>
      </c>
      <c r="N35">
        <v>19374.063747999899</v>
      </c>
      <c r="O35">
        <v>0</v>
      </c>
      <c r="P35">
        <v>796469.72021323501</v>
      </c>
      <c r="Q35">
        <v>31718.769336797101</v>
      </c>
      <c r="S35">
        <v>745254.18199723505</v>
      </c>
      <c r="V35">
        <v>0</v>
      </c>
      <c r="X35">
        <v>0</v>
      </c>
      <c r="Y35">
        <v>0</v>
      </c>
      <c r="Z35">
        <v>0</v>
      </c>
      <c r="AA35">
        <v>1522.44</v>
      </c>
      <c r="AB35">
        <v>0</v>
      </c>
      <c r="AC35">
        <v>0</v>
      </c>
      <c r="AD35">
        <v>0</v>
      </c>
      <c r="AE35">
        <v>796469.72021323501</v>
      </c>
      <c r="AF35">
        <v>51861.381584722403</v>
      </c>
    </row>
    <row r="36" spans="1:36" x14ac:dyDescent="0.25">
      <c r="A36" t="s">
        <v>63</v>
      </c>
      <c r="B36">
        <v>1000</v>
      </c>
      <c r="C36">
        <v>0.1</v>
      </c>
      <c r="D36" t="s">
        <v>95</v>
      </c>
      <c r="H36">
        <v>51215.538215999797</v>
      </c>
      <c r="I36">
        <v>5562.4890734515102</v>
      </c>
      <c r="L36">
        <v>6270.5020695374897</v>
      </c>
      <c r="M36">
        <v>0.28677371223803599</v>
      </c>
      <c r="N36">
        <v>19374.063747999899</v>
      </c>
      <c r="O36">
        <v>0</v>
      </c>
      <c r="P36">
        <v>795440.87862226204</v>
      </c>
      <c r="Q36">
        <v>31723.466981769499</v>
      </c>
      <c r="S36">
        <v>744225.34040626197</v>
      </c>
      <c r="V36">
        <v>0</v>
      </c>
      <c r="X36">
        <v>0</v>
      </c>
      <c r="Y36">
        <v>0</v>
      </c>
      <c r="Z36">
        <v>0</v>
      </c>
      <c r="AA36">
        <v>1522.44</v>
      </c>
      <c r="AB36">
        <v>0</v>
      </c>
      <c r="AC36">
        <v>0</v>
      </c>
      <c r="AD36">
        <v>0</v>
      </c>
      <c r="AE36">
        <v>795440.87862226204</v>
      </c>
      <c r="AF36">
        <v>51911.957733683499</v>
      </c>
    </row>
    <row r="37" spans="1:36" x14ac:dyDescent="0.25">
      <c r="A37" t="s">
        <v>63</v>
      </c>
      <c r="B37">
        <v>1000</v>
      </c>
      <c r="C37">
        <v>0.2</v>
      </c>
      <c r="D37" t="s">
        <v>96</v>
      </c>
      <c r="H37">
        <v>51215.538215999797</v>
      </c>
      <c r="I37">
        <v>5396.9065708751004</v>
      </c>
      <c r="L37">
        <v>6097.4759040633098</v>
      </c>
      <c r="M37">
        <v>0.28823395981175698</v>
      </c>
      <c r="N37">
        <v>19374.063747999899</v>
      </c>
      <c r="O37">
        <v>0</v>
      </c>
      <c r="P37">
        <v>796642.78684675996</v>
      </c>
      <c r="Q37">
        <v>31717.906475617499</v>
      </c>
      <c r="S37">
        <v>745427.24863076</v>
      </c>
      <c r="V37">
        <v>0</v>
      </c>
      <c r="X37">
        <v>0</v>
      </c>
      <c r="Y37">
        <v>0</v>
      </c>
      <c r="Z37">
        <v>0</v>
      </c>
      <c r="AA37">
        <v>1522.44</v>
      </c>
      <c r="AB37">
        <v>0</v>
      </c>
      <c r="AC37">
        <v>0</v>
      </c>
      <c r="AD37">
        <v>0</v>
      </c>
      <c r="AE37">
        <v>796642.78684675996</v>
      </c>
      <c r="AF37">
        <v>51913.840890429201</v>
      </c>
    </row>
    <row r="38" spans="1:36" x14ac:dyDescent="0.25">
      <c r="A38" t="s">
        <v>63</v>
      </c>
      <c r="B38">
        <v>1000</v>
      </c>
      <c r="C38">
        <v>0.3</v>
      </c>
      <c r="D38" t="s">
        <v>97</v>
      </c>
      <c r="H38">
        <v>51215.538215999797</v>
      </c>
      <c r="I38">
        <v>5510.3993974831101</v>
      </c>
      <c r="L38">
        <v>6255.6856587311304</v>
      </c>
      <c r="M38">
        <v>0.28577337847723899</v>
      </c>
      <c r="N38">
        <v>19374.063747999899</v>
      </c>
      <c r="O38">
        <v>0</v>
      </c>
      <c r="P38">
        <v>796530.57316235895</v>
      </c>
      <c r="Q38">
        <v>31736.447047517599</v>
      </c>
      <c r="S38">
        <v>745315.034946359</v>
      </c>
      <c r="V38">
        <v>0</v>
      </c>
      <c r="X38">
        <v>0</v>
      </c>
      <c r="Y38">
        <v>0</v>
      </c>
      <c r="Z38">
        <v>0</v>
      </c>
      <c r="AA38">
        <v>1522.44</v>
      </c>
      <c r="AB38">
        <v>0</v>
      </c>
      <c r="AC38">
        <v>0</v>
      </c>
      <c r="AD38">
        <v>0</v>
      </c>
      <c r="AE38">
        <v>796530.57316235895</v>
      </c>
      <c r="AF38">
        <v>51887.664534269403</v>
      </c>
    </row>
    <row r="39" spans="1:36" x14ac:dyDescent="0.25">
      <c r="A39" t="s">
        <v>63</v>
      </c>
      <c r="B39">
        <v>1000</v>
      </c>
      <c r="C39">
        <v>0.4</v>
      </c>
      <c r="D39" t="s">
        <v>98</v>
      </c>
      <c r="H39">
        <v>51215.538215999797</v>
      </c>
      <c r="I39">
        <v>5468.8033951918396</v>
      </c>
      <c r="L39">
        <v>6223.40541472721</v>
      </c>
      <c r="M39">
        <v>0.28604362412997397</v>
      </c>
      <c r="N39">
        <v>19374.063747999899</v>
      </c>
      <c r="O39">
        <v>0</v>
      </c>
      <c r="P39">
        <v>795701.56489834096</v>
      </c>
      <c r="Q39">
        <v>31732.7489471019</v>
      </c>
      <c r="S39">
        <v>744486.02668234101</v>
      </c>
      <c r="V39">
        <v>0</v>
      </c>
      <c r="X39">
        <v>0</v>
      </c>
      <c r="Y39">
        <v>0</v>
      </c>
      <c r="Z39">
        <v>0</v>
      </c>
      <c r="AA39">
        <v>1522.44</v>
      </c>
      <c r="AB39">
        <v>0</v>
      </c>
      <c r="AC39">
        <v>0</v>
      </c>
      <c r="AD39">
        <v>0</v>
      </c>
      <c r="AE39">
        <v>795701.56489834096</v>
      </c>
      <c r="AF39">
        <v>51874.650675566503</v>
      </c>
    </row>
    <row r="40" spans="1:36" x14ac:dyDescent="0.25">
      <c r="A40" t="s">
        <v>63</v>
      </c>
      <c r="B40">
        <v>1000</v>
      </c>
      <c r="C40">
        <v>0.5</v>
      </c>
      <c r="D40" t="s">
        <v>99</v>
      </c>
      <c r="H40">
        <v>51215.538215999797</v>
      </c>
      <c r="I40">
        <v>5636.9776814979195</v>
      </c>
      <c r="L40">
        <v>6180.6081327797101</v>
      </c>
      <c r="M40">
        <v>0.28686269432236</v>
      </c>
      <c r="N40">
        <v>19374.063747999899</v>
      </c>
      <c r="O40">
        <v>0</v>
      </c>
      <c r="P40">
        <v>795008.51956981199</v>
      </c>
      <c r="Q40">
        <v>31720.751947542001</v>
      </c>
      <c r="S40">
        <v>743792.98135381204</v>
      </c>
      <c r="V40">
        <v>0</v>
      </c>
      <c r="X40">
        <v>0</v>
      </c>
      <c r="Y40">
        <v>0</v>
      </c>
      <c r="Z40">
        <v>0</v>
      </c>
      <c r="AA40">
        <v>1522.44</v>
      </c>
      <c r="AB40">
        <v>0</v>
      </c>
      <c r="AC40">
        <v>0</v>
      </c>
      <c r="AD40">
        <v>0</v>
      </c>
      <c r="AE40">
        <v>795008.51956981199</v>
      </c>
      <c r="AF40">
        <v>52073.625244260198</v>
      </c>
    </row>
    <row r="41" spans="1:36" x14ac:dyDescent="0.25">
      <c r="A41" t="s">
        <v>63</v>
      </c>
      <c r="B41">
        <v>1000</v>
      </c>
      <c r="C41">
        <v>0.6</v>
      </c>
      <c r="D41" t="s">
        <v>100</v>
      </c>
      <c r="H41">
        <v>51215.538215999797</v>
      </c>
      <c r="I41">
        <v>5453.6801356166998</v>
      </c>
      <c r="L41">
        <v>6135.0431416015799</v>
      </c>
      <c r="M41">
        <v>0.28565611472680602</v>
      </c>
      <c r="N41">
        <v>19374.063747999899</v>
      </c>
      <c r="O41">
        <v>0</v>
      </c>
      <c r="P41">
        <v>796231.62824480399</v>
      </c>
      <c r="Q41">
        <v>31703.054869428099</v>
      </c>
      <c r="S41">
        <v>745016.09002880403</v>
      </c>
      <c r="V41">
        <v>0</v>
      </c>
      <c r="X41">
        <v>0</v>
      </c>
      <c r="Y41">
        <v>0</v>
      </c>
      <c r="Z41">
        <v>0</v>
      </c>
      <c r="AA41">
        <v>1522.44</v>
      </c>
      <c r="AB41">
        <v>0</v>
      </c>
      <c r="AC41">
        <v>0</v>
      </c>
      <c r="AD41">
        <v>0</v>
      </c>
      <c r="AE41">
        <v>796231.62824480399</v>
      </c>
      <c r="AF41">
        <v>51918.195611443203</v>
      </c>
    </row>
    <row r="42" spans="1:36" x14ac:dyDescent="0.25">
      <c r="A42" t="s">
        <v>63</v>
      </c>
      <c r="B42">
        <v>1000</v>
      </c>
      <c r="C42">
        <v>0.7</v>
      </c>
      <c r="D42" t="s">
        <v>101</v>
      </c>
      <c r="H42">
        <v>51215.538215999797</v>
      </c>
      <c r="I42">
        <v>5470.4920250736004</v>
      </c>
      <c r="L42">
        <v>5998.8817356171603</v>
      </c>
      <c r="M42">
        <v>0.29120449956488098</v>
      </c>
      <c r="N42">
        <v>19374.063747999899</v>
      </c>
      <c r="O42">
        <v>0</v>
      </c>
      <c r="P42">
        <v>795787.74027260696</v>
      </c>
      <c r="Q42">
        <v>31661.602888424499</v>
      </c>
      <c r="S42">
        <v>744572.202056607</v>
      </c>
      <c r="V42">
        <v>0</v>
      </c>
      <c r="X42">
        <v>0</v>
      </c>
      <c r="Y42">
        <v>0</v>
      </c>
      <c r="Z42">
        <v>0</v>
      </c>
      <c r="AA42">
        <v>1522.44</v>
      </c>
      <c r="AB42">
        <v>0</v>
      </c>
      <c r="AC42">
        <v>0</v>
      </c>
      <c r="AD42">
        <v>0</v>
      </c>
      <c r="AE42">
        <v>795787.74027260696</v>
      </c>
      <c r="AF42">
        <v>52029.716925881003</v>
      </c>
    </row>
    <row r="43" spans="1:36" x14ac:dyDescent="0.25">
      <c r="A43" t="s">
        <v>63</v>
      </c>
      <c r="B43">
        <v>1000</v>
      </c>
      <c r="C43">
        <v>0.8</v>
      </c>
      <c r="D43" t="s">
        <v>102</v>
      </c>
      <c r="H43">
        <v>51215.538215999797</v>
      </c>
      <c r="I43">
        <v>5597.3611574255201</v>
      </c>
      <c r="L43">
        <v>6552.6810537729098</v>
      </c>
      <c r="M43">
        <v>0.32435881632074198</v>
      </c>
      <c r="N43">
        <v>19374.063747999899</v>
      </c>
      <c r="O43">
        <v>0</v>
      </c>
      <c r="P43">
        <v>796913.55073846295</v>
      </c>
      <c r="Q43">
        <v>31715.110665291799</v>
      </c>
      <c r="S43">
        <v>745051.81482554099</v>
      </c>
      <c r="V43">
        <v>0</v>
      </c>
      <c r="X43">
        <v>0</v>
      </c>
      <c r="Y43">
        <v>646.19769692231898</v>
      </c>
      <c r="Z43">
        <v>0</v>
      </c>
      <c r="AA43">
        <v>1522.44</v>
      </c>
      <c r="AB43">
        <v>0</v>
      </c>
      <c r="AC43">
        <v>0.64619769692231899</v>
      </c>
      <c r="AD43">
        <v>0</v>
      </c>
      <c r="AE43">
        <v>796267.35304154095</v>
      </c>
      <c r="AF43">
        <v>51655.648319247499</v>
      </c>
    </row>
    <row r="44" spans="1:36" x14ac:dyDescent="0.25">
      <c r="A44" t="s">
        <v>63</v>
      </c>
      <c r="B44">
        <v>1000</v>
      </c>
      <c r="C44">
        <v>0.9</v>
      </c>
      <c r="D44" t="s">
        <v>103</v>
      </c>
      <c r="H44">
        <v>52557.493361999899</v>
      </c>
      <c r="I44">
        <v>5773.6435417101702</v>
      </c>
      <c r="L44">
        <v>6496.4040932725702</v>
      </c>
      <c r="M44">
        <v>0.31980534664449201</v>
      </c>
      <c r="N44">
        <v>19374.063747999899</v>
      </c>
      <c r="O44">
        <v>0</v>
      </c>
      <c r="P44">
        <v>798838.70893101301</v>
      </c>
      <c r="Q44">
        <v>31724.3848142895</v>
      </c>
      <c r="S44">
        <v>745956.51156556199</v>
      </c>
      <c r="V44">
        <v>0</v>
      </c>
      <c r="X44">
        <v>0</v>
      </c>
      <c r="Y44">
        <v>324.70400345111301</v>
      </c>
      <c r="Z44">
        <v>0</v>
      </c>
      <c r="AA44">
        <v>1522.44</v>
      </c>
      <c r="AB44">
        <v>0</v>
      </c>
      <c r="AC44">
        <v>0.324704003451113</v>
      </c>
      <c r="AD44">
        <v>0</v>
      </c>
      <c r="AE44">
        <v>798514.00492756197</v>
      </c>
      <c r="AF44">
        <v>51897.803306723697</v>
      </c>
    </row>
    <row r="45" spans="1:36" x14ac:dyDescent="0.25">
      <c r="A45" t="s">
        <v>63</v>
      </c>
      <c r="B45">
        <v>1000</v>
      </c>
      <c r="C45">
        <v>0.99</v>
      </c>
      <c r="D45" t="s">
        <v>104</v>
      </c>
      <c r="H45">
        <v>52685.298613999897</v>
      </c>
      <c r="I45">
        <v>6210.1210994667999</v>
      </c>
      <c r="L45">
        <v>6577.89937683072</v>
      </c>
      <c r="M45">
        <v>0.32209754379778599</v>
      </c>
      <c r="N45">
        <v>19374.063747999899</v>
      </c>
      <c r="O45">
        <v>0</v>
      </c>
      <c r="P45">
        <v>800584.98286941496</v>
      </c>
      <c r="Q45">
        <v>31826.336722305899</v>
      </c>
      <c r="S45">
        <v>747580.51637932495</v>
      </c>
      <c r="V45">
        <v>0</v>
      </c>
      <c r="X45">
        <v>0</v>
      </c>
      <c r="Y45">
        <v>319.16787609091602</v>
      </c>
      <c r="Z45">
        <v>0</v>
      </c>
      <c r="AA45">
        <v>1522.44</v>
      </c>
      <c r="AB45">
        <v>0</v>
      </c>
      <c r="AC45">
        <v>0.31916787609091601</v>
      </c>
      <c r="AD45">
        <v>0</v>
      </c>
      <c r="AE45">
        <v>800265.81499332399</v>
      </c>
      <c r="AF45">
        <v>52354.743025065902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LGEN</vt:lpstr>
      <vt:lpstr>EENS</vt:lpstr>
      <vt:lpstr>EOPEX</vt:lpstr>
      <vt:lpstr>EOPEX2</vt:lpstr>
      <vt:lpstr>supply demand</vt:lpstr>
      <vt:lpstr>gcd_KPI_adequacy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Gallegos Garay, Pablo I</cp:lastModifiedBy>
  <dcterms:created xsi:type="dcterms:W3CDTF">2025-03-03T12:34:08Z</dcterms:created>
  <dcterms:modified xsi:type="dcterms:W3CDTF">2025-03-13T14:10:05Z</dcterms:modified>
</cp:coreProperties>
</file>